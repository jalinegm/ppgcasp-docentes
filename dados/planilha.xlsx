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entações" sheetId="1" r:id="rId5"/>
    <sheet state="visible" name="Estratos e PTTs" sheetId="2" r:id="rId6"/>
    <sheet state="visible" name="Resumo por docente" sheetId="3" r:id="rId7"/>
    <sheet state="visible" name="Lançamentos - Artigos" sheetId="4" r:id="rId8"/>
    <sheet state="visible" name="Destaques e PTTs" sheetId="5" r:id="rId9"/>
  </sheets>
  <definedNames>
    <definedName hidden="1" localSheetId="2" name="_xlnm._FilterDatabase">'Resumo por docente'!$A$7:$O$57</definedName>
    <definedName hidden="1" localSheetId="3" name="_xlnm._FilterDatabase">'Lançamentos - Artigos'!$A$1:$P$506</definedName>
    <definedName hidden="1" localSheetId="4" name="_xlnm._FilterDatabase">'Destaques e PTTs'!$A$1:$X$501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7">
      <text>
        <t xml:space="preserve">AUTOMÁTICO - Quantidade de artigos do docente que passaram por todos os critérios de validação.</t>
      </text>
    </comment>
    <comment authorId="0" ref="D3">
      <text>
        <t xml:space="preserve">REFERÊNCIA FIXA - Índice mínimo esperado de 0,50 para a média das produções em propostas de mestrado.</t>
      </text>
    </comment>
    <comment authorId="0" ref="H7">
      <text>
        <t xml:space="preserve">AUTOMÁTICO - Soma dos índices válidos dos artigos do docente.</t>
      </text>
    </comment>
    <comment authorId="0" ref="G5">
      <text>
        <t xml:space="preserve">AUTOMÁTICO - Verifica se todos os docentes completaram as indicações exigidas.</t>
      </text>
    </comment>
    <comment authorId="0" ref="I7">
      <text>
        <t xml:space="preserve">AUTOMÁTICO - Média dos artigos válidos: soma dos índices dividida pela quantidade de artigos válidos.</t>
      </text>
    </comment>
    <comment authorId="0" ref="J7">
      <text>
        <t xml:space="preserve">AUTOMÁTICO - Diagnóstico da produção individual, considerando maternidade, existência de artigo válido e referência 0,50.</t>
      </text>
    </comment>
    <comment authorId="0" ref="G3">
      <text>
        <t xml:space="preserve">AUTOMÁTICO - Compara a média dos artigos do grupo com a referência de 0,50.</t>
      </text>
    </comment>
    <comment authorId="0" ref="K7">
      <text>
        <t xml:space="preserve">AUTOMÁTICO - Quantidade de destaques do docente com validação OK na aba Destaques e PTTs.</t>
      </text>
    </comment>
    <comment authorId="0" ref="J5">
      <text>
        <t xml:space="preserve">REGRA DA MODALIDADE - No mestrado profissional, cada docente deve apresentar 2 destaques e 3 PTTs adicionais.</t>
      </text>
    </comment>
    <comment authorId="0" ref="L7">
      <text>
        <t xml:space="preserve">AUTOMÁTICO - Quantidade de PTTs adicionais do docente com validação OK na aba Destaques e PTTs.</t>
      </text>
    </comment>
    <comment authorId="0" ref="M7">
      <text>
        <t xml:space="preserve">AUTOMÁTICO - Para a modalidade profissional, exige exatamente 2 destaques e 3 PTTs adicionais por docente.</t>
      </text>
    </comment>
    <comment authorId="0" ref="J3">
      <text>
        <t xml:space="preserve">AUTOMÁTICO - Percentual dos docentes permanentes com contrato de 40 horas.</t>
      </text>
    </comment>
    <comment authorId="0" ref="N7">
      <text>
        <t xml:space="preserve">AUTOMÁTICO - Síntese das condições de vínculo, carga horária, número de vínculos, artigos e indicações do docente.</t>
      </text>
    </comment>
    <comment authorId="0" ref="A6">
      <text>
        <t xml:space="preserve">LEGENDA - Células amarelas recebem preenchimento manual. Células bege são calculadas automaticamente e não devem ser editadas.</t>
      </text>
    </comment>
    <comment authorId="0" ref="A4">
      <text>
        <t xml:space="preserve">AUTOMÁTICO - Verifica se todos os docentes cadastrados possuem pelo menos 14 horas semanais destinadas ao curso.</t>
      </text>
    </comment>
    <comment authorId="0" ref="A2">
      <text>
        <t xml:space="preserve">AUTOMÁTICO - Modalidade recuperada da aba Orientações. Para alterá-la, use o seletor em Orientações!B4.</t>
      </text>
    </comment>
    <comment authorId="0" ref="D4">
      <text>
        <t xml:space="preserve">AUTOMÁTICO - Média das horas semanais informadas para os docentes cadastrados; a referência desejável é 15 horas.</t>
      </text>
    </comment>
    <comment authorId="0" ref="D2">
      <text>
        <t xml:space="preserve">AUTOMÁTICO - Quantidade de docentes permanentes cadastrados nas linhas 8 a 57.</t>
      </text>
    </comment>
    <comment authorId="0" ref="G4">
      <text>
        <t xml:space="preserve">AUTOMÁTICO - Maior número de vínculos como docente permanente informado entre os docentes; a referência é no máximo 2.</t>
      </text>
    </comment>
    <comment authorId="0" ref="G2">
      <text>
        <t xml:space="preserve">REFERÊNCIA FIXA - Mínimo de 12 docentes permanentes para a proposta.</t>
      </text>
    </comment>
    <comment authorId="0" ref="J4">
      <text>
        <t xml:space="preserve">AUTOMÁTICO - Síntese de carga mínima, média de horas, vínculos como DP e percentual de contratos de 40 horas.</t>
      </text>
    </comment>
    <comment authorId="0" ref="J2">
      <text>
        <t xml:space="preserve">AUTOMÁTICO - Compara o número de docentes cadastrados com o mínimo exigido.</t>
      </text>
    </comment>
    <comment authorId="0" ref="A7">
      <text>
        <t xml:space="preserve">PREENCHIMENTO DA COORDENAÇÃO - Cadastre um docente permanente por linha. Esta lista alimenta os menus das abas de lançamento.</t>
      </text>
    </comment>
    <comment authorId="0" ref="B7">
      <text>
        <t xml:space="preserve">PREENCHIMENTO DA COORDENAÇÃO - Selecione a linha de pesquisa/atuação do docente.</t>
      </text>
    </comment>
    <comment authorId="0" ref="A5">
      <text>
        <t xml:space="preserve">AUTOMÁTICO - Conta quantos docentes possuem todas as indicações exigidas com situação OK.</t>
      </text>
    </comment>
    <comment authorId="0" ref="C7">
      <text>
        <t xml:space="preserve">PREENCHIMENTO DA COORDENAÇÃO - Marque sim para docente que foi mãe nos 24 meses anteriores à submissão; essa condição exclui sua produção do cálculo geral.</t>
      </text>
    </comment>
    <comment authorId="0" ref="D7">
      <text>
        <t xml:space="preserve">PREENCHIMENTO DA COORDENAÇÃO - Marque sim quando o docente possuir contrato de 40 horas.</t>
      </text>
    </comment>
    <comment authorId="0" ref="A3">
      <text>
        <t xml:space="preserve">AUTOMÁTICO - Média dos índices de todos os artigos válidos do grupo, excluindo docentes com maternidade indicada.</t>
      </text>
    </comment>
    <comment authorId="0" ref="E7">
      <text>
        <t xml:space="preserve">PREENCHIMENTO DA COORDENAÇÃO - Informe a carga horária semanal efetivamente destinada ao curso. A referência mínima é 14 horas.</t>
      </text>
    </comment>
    <comment authorId="0" ref="D5">
      <text>
        <t xml:space="preserve">AUTOMÁTICO - Total de docentes permanentes cadastrados.</t>
      </text>
    </comment>
    <comment authorId="0" ref="F7">
      <text>
        <t xml:space="preserve">PREENCHIMENTO DA COORDENAÇÃO - Informe em quantos PPGs o docente atua como permanente, incluindo esta proposta. A referência da Área 49 é no máximo 2.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PREENCHIMENTO DO DOCENTE - Selecione o nome do docente. Esse nome vincula o artigo ao resumo individual.</t>
      </text>
    </comment>
    <comment authorId="0" ref="B1">
      <text>
        <t xml:space="preserve">AUTOMÁTICO - Linha recuperada do cadastro na aba Resumo por docente. Não editar esta coluna.</t>
      </text>
    </comment>
    <comment authorId="0" ref="C1">
      <text>
        <t xml:space="preserve">PREENCHIMENTO DO DOCENTE - Selecione o ano da publicação dentro da janela 2021-2026.</t>
      </text>
    </comment>
    <comment authorId="0" ref="D1">
      <text>
        <t xml:space="preserve">PREENCHIMENTO DO DOCENTE - Informe o título completo do artigo, como publicado.</t>
      </text>
    </comment>
    <comment authorId="0" ref="E1">
      <text>
        <t xml:space="preserve">PREENCHIMENTO DO DOCENTE - Informe o DOI completo, preferencialmente no formato https://doi.org/...</t>
      </text>
    </comment>
    <comment authorId="0" ref="F1">
      <text>
        <t xml:space="preserve">PREENCHIMENTO DO DOCENTE - Selecione Brasil ou Exterior conforme o país do periódico.</t>
      </text>
    </comment>
    <comment authorId="0" ref="G1">
      <text>
        <t xml:space="preserve">PREENCHIMENTO DO DOCENTE - Selecione a base usada: WoS, Scopus ou Dimensions. Se houver WoS e Scopus, utilize o percentil mais favorável.</t>
      </text>
    </comment>
    <comment authorId="0" ref="H1">
      <text>
        <t xml:space="preserve">PREENCHIMENTO DO DOCENTE - Informe o percentil de 0 a 100 da WoS/JCR ou da Scopus. Use quando a base da coluna G for WoS ou Scopus.</t>
      </text>
    </comment>
    <comment authorId="0" ref="I1">
      <text>
        <t xml:space="preserve">PREENCHIMENTO DO DOCENTE - Use somente quando a base for Dimensions. Informe o maior percentual de artigos citados apresentado pela plataforma.</t>
      </text>
    </comment>
    <comment authorId="0" ref="J1">
      <text>
        <t xml:space="preserve">PREENCHIMENTO DO DOCENTE - Use somente quando a base for Dimensions. Informe a média de citações apresentada pela plataforma; a planilha considera a condição de menor desempenho entre I e J.</t>
      </text>
    </comment>
    <comment authorId="0" ref="K1">
      <text>
        <t xml:space="preserve">AUTOMÁTICO - Índice atribuído conforme os estratos da Área 49 e a métrica informada. Não editar.</t>
      </text>
    </comment>
    <comment authorId="0" ref="L1">
      <text>
        <t xml:space="preserve">AUTOMÁTICO - Índice que entra no resumo após verificar ano, DOI, Lattes, aderência e elegibilidade da base. Não editar.</t>
      </text>
    </comment>
    <comment authorId="0" ref="M1">
      <text>
        <t xml:space="preserve">PREENCHIMENTO DO DOCENTE - Informe o FWCI/ICPC do artigo, quando disponível. É uma informação qualitativa complementar e não altera o índice numérico da planilha.</t>
      </text>
    </comment>
    <comment authorId="0" ref="N1">
      <text>
        <t xml:space="preserve">PREENCHIMENTO DO DOCENTE - Marque sim somente se o artigo estiver registrado no Currículo Lattes.</t>
      </text>
    </comment>
    <comment authorId="0" ref="O1">
      <text>
        <t xml:space="preserve">PREENCHIMENTO DO DOCENTE - Marque sim somente se o artigo for aderente à área de concentração, à linha de atuação e à proposta do curso.</t>
      </text>
    </comment>
    <comment authorId="0" ref="P1">
      <text>
        <t xml:space="preserve">PREENCHIMENTO DO DOCENTE (OPCIONAL) - Registre ausência de métrica, exceções, pendências ou informações necessárias à conferência.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tc={8d6a8957-5e26-444d-ba3f-ebdf18590b09}</author>
  </authors>
  <commentList>
    <comment authorId="0" ref="A1">
      <text>
        <t xml:space="preserve">PREENCHIMENTO DO DOCENTE - Selecione o nome do docente responsável pela indicação.</t>
      </text>
    </comment>
    <comment authorId="0" ref="B1">
      <text>
        <t xml:space="preserve">AUTOMÁTICO - Linha de pesquisa/atuação recuperada do cadastro no Resumo por docente. Não editar.</t>
      </text>
    </comment>
    <comment authorId="0" ref="C1">
      <text>
        <t xml:space="preserve">PREENCHIMENTO DO DOCENTE - No mestrado profissional, cada DP deve registrar 2 destaques e 3 PTTs adicionais distintos.</t>
      </text>
    </comment>
    <comment authorId="0" ref="D1">
      <text>
        <t xml:space="preserve">PREENCHIMENTO DO DOCENTE - Selecione o ano da produção ou experiência na janela 2021-2026.</t>
      </text>
    </comment>
    <comment authorId="0" ref="E1">
      <text>
        <t xml:space="preserve">PREENCHIMENTO DO DOCENTE - Para PTT adicional, escolha somente uma das 16 tipologias oficiais. As opções marcadas como somente destaque não são PTTs.</t>
      </text>
    </comment>
    <comment authorId="0" ref="F1">
      <text>
        <t xml:space="preserve">PREENCHIMENTO DO DOCENTE - Informe o título completo da experiência ou do produto.</t>
      </text>
    </comment>
    <comment authorId="0" ref="G1">
      <text>
        <t xml:space="preserve">PREENCHIMENTO DO DOCENTE - Selecione se o impacto ocorreu na Ciência, na Sociedade ou em ambas.</t>
      </text>
    </comment>
    <comment authorId="0" ref="H1">
      <text>
        <t xml:space="preserve">PREENCHIMENTO DO DOCENTE - Selecione a dimensão predominante. Se houver mais de uma, escolha Múltiplas - especificar em K e identifique as dimensões na descrição.</t>
      </text>
    </comment>
    <comment authorId="0" ref="I1">
      <text>
        <t xml:space="preserve">PREENCHIMENTO DO DOCENTE - Informe preferencialmente três palavras-chave, conforme a Ficha de Impacto Real.</t>
      </text>
    </comment>
    <comment authorId="0" ref="J1">
      <text>
        <t xml:space="preserve">PREENCHIMENTO DO DOCENTE - Descreva brevemente o objetivo da experiência e seu foco principal.</t>
      </text>
    </comment>
    <comment authorId="0" ref="K1">
      <text>
        <t xml:space="preserve">PREENCHIMENTO DO DOCENTE - Descreva a transformação produzida, as evidências verificáveis e, quando houver múltiplas dimensões, identifique-as aqui.</t>
      </text>
    </comment>
    <comment authorId="0" ref="L1">
      <text>
        <t xml:space="preserve">PREENCHIMENTO DO DOCENTE - Indique os ODS e respectivas metas relacionados. Se não houver relação demonstrável, informe Não se aplica.</t>
      </text>
    </comment>
    <comment authorId="0" ref="M1">
      <text>
        <t xml:space="preserve">PREENCHIMENTO DO DOCENTE - Informe município, região, instituição, comunidade ou ambiente onde a experiência foi aplicada.</t>
      </text>
    </comment>
    <comment authorId="0" ref="N1">
      <text>
        <t xml:space="preserve">PREENCHIMENTO DO DOCENTE - Identifique os públicos, grupos, organizações ou territórios beneficiados.</t>
      </text>
    </comment>
    <comment authorId="0" ref="O1">
      <text>
        <t xml:space="preserve">PREENCHIMENTO DO DOCENTE - Informe instituições, empresas, órgãos públicos ou organizações parceiras. Se não houver, registre Não houve.</t>
      </text>
    </comment>
    <comment authorId="0" ref="P1">
      <text>
        <t xml:space="preserve">PREENCHIMENTO DO DOCENTE - Informe agência, edital, projeto ou fonte financiadora. Se não houve financiamento externo, registre essa condição.</t>
      </text>
    </comment>
    <comment authorId="0" ref="Q1">
      <text>
        <t xml:space="preserve">PREENCHIMENTO DO DOCENTE - Explique como a experiência pode ser repetida, ampliada ou aplicada em outros contextos.</t>
      </text>
    </comment>
    <comment authorId="0" ref="R1">
      <text>
        <t xml:space="preserve">PREENCHIMENTO DO DOCENTE - Relacione explicitamente a produção à área de concentração, à linha de atuação e aos objetivos do curso.</t>
      </text>
    </comment>
    <comment authorId="0" ref="S1">
      <text>
        <t xml:space="preserve">PREENCHIMENTO DO DOCENTE - Insira link acessível para relatórios, certificados, declarações, registros ou outras evidências comprobatórias.</t>
      </text>
    </comment>
    <comment authorId="0" ref="T1">
      <text>
        <t xml:space="preserve">PREENCHIMENTO DO DOCENTE - Insira DOI, repositório, página institucional ou arquivo do produto. Para PTT adicional, disponibilize o produto ou seu comprovante.</t>
      </text>
    </comment>
    <comment authorId="0" ref="U1">
      <text>
        <t xml:space="preserve">PREENCHIMENTO DO DOCENTE - Marque sim somente se a produção estiver registrada no Currículo Lattes. É necessário sim para a validação OK.</t>
      </text>
    </comment>
    <comment authorId="0" ref="V1">
      <text>
        <t xml:space="preserve">PREENCHIMENTO DO DOCENTE - Marque sim quando a Ficha de Impacto Real estiver completa e acompanhada das evidências. É necessário sim para a validação OK.</t>
      </text>
    </comment>
    <comment authorId="0" ref="W1">
      <text>
        <t xml:space="preserve">AUTOMÁTICO - Resultado da conferência. Pode mostrar OK, INCOMPLETO, ANO FORA DA JANELA ou TIPO PTT INVÁLIDO. Não editar.</t>
      </text>
    </comment>
    <comment authorId="0" ref="X1">
      <text>
        <t xml:space="preserve">PREENCHIMENTO DO DOCENTE (SE APLICÁVEL) - Informe os demais docentes permanentes envolvidos. Se não houver, registre Nenhum.</t>
      </text>
    </comment>
    <comment authorId="1" xr:uid="{8d6a8957-5e26-444d-ba3f-ebdf18590b09}" ref="K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aqui precisamos descrever melhor como esse produto gerou impactos. Sempre tentando justificar com relação a aderência desse impacto com a proposta do curso
</t>
      </text>
    </comment>
  </commentList>
</comments>
</file>

<file path=xl/sharedStrings.xml><?xml version="1.0" encoding="utf-8"?>
<sst xmlns="http://schemas.openxmlformats.org/spreadsheetml/2006/main" count="1196" uniqueCount="581">
  <si>
    <t>RESUMO E CADASTRO DO CORPO DOCENTE — MESTRADO</t>
  </si>
  <si>
    <t>PLANILHA DE PONTUAÇÃO E PRONTIDÃO — APCN 2026</t>
  </si>
  <si>
    <t>CRITÉRIOS DE REFERÊNCIA — ÁREA 49</t>
  </si>
  <si>
    <t>Mestrado | Área 49 — Ciências Ambientais</t>
  </si>
  <si>
    <t>Estrato</t>
  </si>
  <si>
    <t>MODALIDADE</t>
  </si>
  <si>
    <t>Modalidade</t>
  </si>
  <si>
    <t>Docente</t>
  </si>
  <si>
    <t>WoS/Scopus: percentil</t>
  </si>
  <si>
    <t>Dimensions: maior % de artigos citados</t>
  </si>
  <si>
    <t>Dimensions: média de citações</t>
  </si>
  <si>
    <t>Índice por artigo</t>
  </si>
  <si>
    <t>Linha de pesquisa/atuação</t>
  </si>
  <si>
    <t>Profissional</t>
  </si>
  <si>
    <t>E1</t>
  </si>
  <si>
    <t>Ano</t>
  </si>
  <si>
    <t>Título do artigo</t>
  </si>
  <si>
    <t>Altere apenas este seletor se a proposta for acadêmica; o resumo ajusta automaticamente a exigência dos PTTs adicionais.</t>
  </si>
  <si>
    <t>≥ 87,5</t>
  </si>
  <si>
    <t>≥ 2,00</t>
  </si>
  <si>
    <t>DOI</t>
  </si>
  <si>
    <t>País do periódico</t>
  </si>
  <si>
    <t>Base usada</t>
  </si>
  <si>
    <t>FINALIDADE</t>
  </si>
  <si>
    <t>Percentil WoS/Scopus</t>
  </si>
  <si>
    <t>Organizar o corpo docente, classificar os artigos segundo a Área 49 e verificar a completude das produções de destaque e dos PTTs.</t>
  </si>
  <si>
    <t>E2</t>
  </si>
  <si>
    <t>≥ 75,0</t>
  </si>
  <si>
    <t>≥ 1,50</t>
  </si>
  <si>
    <t>E3</t>
  </si>
  <si>
    <t>≥ 62,5</t>
  </si>
  <si>
    <t>≥ 1,00</t>
  </si>
  <si>
    <t>E4</t>
  </si>
  <si>
    <t>≥ 50,0</t>
  </si>
  <si>
    <t>≥ 0,75</t>
  </si>
  <si>
    <t>E5</t>
  </si>
  <si>
    <t>Índice CAPES</t>
  </si>
  <si>
    <t>≥ 37,5</t>
  </si>
  <si>
    <t>JANELA TEMPORAL</t>
  </si>
  <si>
    <t>Para o Edital CAPES nº 20/2026, considerar 2021–2026: os cinco anos anteriores acrescidos do ano de submissão.</t>
  </si>
  <si>
    <t>≥ 0,50</t>
  </si>
  <si>
    <t>Índice válido</t>
  </si>
  <si>
    <t>E6</t>
  </si>
  <si>
    <t>≥ 25,0</t>
  </si>
  <si>
    <t>FWCI/ICPC</t>
  </si>
  <si>
    <t>≥ 0,25</t>
  </si>
  <si>
    <t>No Lattes?</t>
  </si>
  <si>
    <t>E7</t>
  </si>
  <si>
    <t>ARTIGOS</t>
  </si>
  <si>
    <t>DP cadastrados</t>
  </si>
  <si>
    <t>≥ 12,5</t>
  </si>
  <si>
    <t>Aderente à proposta?</t>
  </si>
  <si>
    <t>Registrar os artigos dos docentes permanentes com DOI. Periódicos estrangeiros: WoS e, complementarmente, Scopus. Periódicos brasileiros abaixo do percentil 50 ou não consolidados: usar as duas condições da Dimensions.</t>
  </si>
  <si>
    <t>≥ 0,125</t>
  </si>
  <si>
    <t>Observações</t>
  </si>
  <si>
    <t>E8</t>
  </si>
  <si>
    <t>≥ 0,01</t>
  </si>
  <si>
    <t>Dimensions: aplicar simultaneamente as duas condições e usar o resultado de menor desempenho. Quando o periódico estiver em WoS e Scopus, utilizar o percentil mais favorável.</t>
  </si>
  <si>
    <t>REFERÊNCIA DO MESTRADO</t>
  </si>
  <si>
    <t>A média das produções em artigos deve alcançar índice mínimo esperado de 0,50. O resultado individual é diagnóstico; o requisito textual refere-se à média das produções do grupo.</t>
  </si>
  <si>
    <t>DESTAQUES</t>
  </si>
  <si>
    <t>Indicar duas produções de destaque por docente permanente, acompanhadas da Ficha de Impacto Real e de evidências.</t>
  </si>
  <si>
    <t>Mínimo exigido</t>
  </si>
  <si>
    <t>MESTRADO PROFISSIONAL</t>
  </si>
  <si>
    <t>Além dos indicadores gerais, indicar três PTTs adicionais por docente permanente, com Ficha de Impacto Real, link/anexo e justificativa de aderência.</t>
  </si>
  <si>
    <t>16 TIPOLOGIAS DE PRODUTOS TÉCNICOS E TECNOLÓGICOS (PTTs)</t>
  </si>
  <si>
    <t>Situação do quantitativo</t>
  </si>
  <si>
    <t>PTTs</t>
  </si>
  <si>
    <t>A APCN de Ciências Ambientais não fixa pontuação numérica prévia para cada tipologia. Os PTTs são avaliados por aderência, impacto, aplicabilidade, inovação e complexidade.</t>
  </si>
  <si>
    <t>Código</t>
  </si>
  <si>
    <t>Tipologia oficial</t>
  </si>
  <si>
    <t>Exemplos / escopo</t>
  </si>
  <si>
    <t>Dimensões avaliadas</t>
  </si>
  <si>
    <t>Tratamento na APCN</t>
  </si>
  <si>
    <t>MATERNIDADE</t>
  </si>
  <si>
    <t>PTT01</t>
  </si>
  <si>
    <t>Docentes que foram mães nos 24 meses anteriores à submissão são excluídas do cálculo geral de produção; a condição deve ser indicada claramente na proposta.</t>
  </si>
  <si>
    <t>Anderson Saldanha Bueno</t>
  </si>
  <si>
    <t>Produto bibliográfico</t>
  </si>
  <si>
    <t>CORPO DOCENTE</t>
  </si>
  <si>
    <t>Mínimo de 12 docentes permanentes; colaboradores até 30% do corpo docente total; externos no quadro permanente até 30%, com carta de cessão.</t>
  </si>
  <si>
    <t>Artigo em revista técnica ou de divulgação científica; livro ou série técnica</t>
  </si>
  <si>
    <t>Aderência, impacto, aplicabilidade, inovação e complexidade</t>
  </si>
  <si>
    <t>Sem pontos APCN pré-fixados; avaliação qualitativa</t>
  </si>
  <si>
    <t>PTT02</t>
  </si>
  <si>
    <t>Ativos de Propriedade Intelectual</t>
  </si>
  <si>
    <t>Patente; desenho industrial; indicação geográfica; marca; topografia de circuito</t>
  </si>
  <si>
    <t>DEDICAÇÃO</t>
  </si>
  <si>
    <t>PTT03</t>
  </si>
  <si>
    <t>Tecnologia Social</t>
  </si>
  <si>
    <t>Técnicas ou metodologias transformadoras desenvolvidas/aplicadas com a população</t>
  </si>
  <si>
    <t>Ao menos 50% dos docentes permanentes com contrato de 40h; todos com no mínimo 14h semanais no curso; média desejável de 15h.</t>
  </si>
  <si>
    <t>PTT04</t>
  </si>
  <si>
    <t>Produto de editoração</t>
  </si>
  <si>
    <t>Catálogo, coletânea, enciclopédia, revista, anais ou catálogo artístico organizado</t>
  </si>
  <si>
    <t>PTT05</t>
  </si>
  <si>
    <t>Material didático ou educacional</t>
  </si>
  <si>
    <t>Média dos artigos do grupo</t>
  </si>
  <si>
    <t>VÍNCULOS</t>
  </si>
  <si>
    <t>Material finalizado para processos de ensino, formação ou educação</t>
  </si>
  <si>
    <t>A Área 49 admite atuação como permanente em até dois PPGs, incluindo propostas novas. O Edital também impede cadastrar quem já atua em três programas/propostas.</t>
  </si>
  <si>
    <t>PTT06</t>
  </si>
  <si>
    <t>Software/Aplicativo</t>
  </si>
  <si>
    <t>Programa de computador ou aplicativo</t>
  </si>
  <si>
    <t>PTT07</t>
  </si>
  <si>
    <t>Norma ou Marco regulatório</t>
  </si>
  <si>
    <t>Norma, anteprojeto, estudo de regulamentação, audiência pública, peça técnica</t>
  </si>
  <si>
    <t>USO</t>
  </si>
  <si>
    <t>PTT08</t>
  </si>
  <si>
    <t>Relatório técnico conclusivo</t>
  </si>
  <si>
    <t>1) Preencha “Lançamentos - Artigos”. 2) Preencha “Destaques e PTTs”. 3) Acompanhe as pendências no resumo e no checklist.</t>
  </si>
  <si>
    <t>Relatório, processo de gestão, pesquisa de mercado, simulação, modelo ou parecer técnico</t>
  </si>
  <si>
    <t>PTT09</t>
  </si>
  <si>
    <t>Manual/Protocolo</t>
  </si>
  <si>
    <t>Protocolo tecnológico, POP ou manual de operação técnica</t>
  </si>
  <si>
    <t>PTT10</t>
  </si>
  <si>
    <t>Acervo</t>
  </si>
  <si>
    <t>Curadoria de mostras, exposições, coleções biológicas ou acervos produzidos</t>
  </si>
  <si>
    <t>PTT11</t>
  </si>
  <si>
    <t>Cultivar</t>
  </si>
  <si>
    <t>Cultivar desenvolvida ou registrada</t>
  </si>
  <si>
    <t>LIMITAÇÃO</t>
  </si>
  <si>
    <t>PTT12</t>
  </si>
  <si>
    <t>Carta, mapa ou similar</t>
  </si>
  <si>
    <t>Cartas, mapas e produtos cartográficos correlatos</t>
  </si>
  <si>
    <t>PTT13</t>
  </si>
  <si>
    <t>Produtos/Processos em sigilo</t>
  </si>
  <si>
    <t>Produção sob sigilo, interesse empresarial ou instrumento de transferência tecnológica</t>
  </si>
  <si>
    <t>PTT14</t>
  </si>
  <si>
    <t xml:space="preserve">Planilha de apoio baseada nos documentos oficiais vigentes em setembro de 2026. </t>
  </si>
  <si>
    <t>Taxonomia, Ontologias e Tesauros</t>
  </si>
  <si>
    <t>Sistemas de organização e representação do conhecimento</t>
  </si>
  <si>
    <t>PTT15</t>
  </si>
  <si>
    <t>Empresa ou Organização Social Inovadora</t>
  </si>
  <si>
    <t>Empresa, empreendimento ou organização social inovadora</t>
  </si>
  <si>
    <t>PTT16</t>
  </si>
  <si>
    <t>Processo/Tecnologia e Produto/Material não patenteável</t>
  </si>
  <si>
    <t>Processo, tecnologia, produto ou material sem proteção patentária</t>
  </si>
  <si>
    <t>FONTES OFICIAIS ORGANIZADAS NA PASTA</t>
  </si>
  <si>
    <t>Referência do mestrado</t>
  </si>
  <si>
    <t>Situação da média</t>
  </si>
  <si>
    <t>Documento orientador APCN — Ciências Ambientais 2026</t>
  </si>
  <si>
    <t>Patterns of understorey bird diversity across Amazonian forests: survey effort and range maps predict local species richness</t>
  </si>
  <si>
    <t>https://doi.org/10.1002/ecog.07625</t>
  </si>
  <si>
    <t>DP 40h</t>
  </si>
  <si>
    <t>Ficha de avaliação — Ciências Ambientais 2025–2028</t>
  </si>
  <si>
    <t>Carga mínima de 14h</t>
  </si>
  <si>
    <t>Documento de Área — Ciências Ambientais 2025–2028</t>
  </si>
  <si>
    <t>Média de horas</t>
  </si>
  <si>
    <t>Anexo — Ficha de Impacto Real</t>
  </si>
  <si>
    <t>Maior nº de vínculos DP</t>
  </si>
  <si>
    <t>Situação dedicação</t>
  </si>
  <si>
    <t>Edital CAPES nº 20/2026 — APCN</t>
  </si>
  <si>
    <t>Portaria CAPES nº 246/2026 — APCN</t>
  </si>
  <si>
    <t>DP com indicações completas</t>
  </si>
  <si>
    <t>Total de DP</t>
  </si>
  <si>
    <t>Guia de submissão APCN 2026</t>
  </si>
  <si>
    <t>Situação das indicações</t>
  </si>
  <si>
    <t>Regra</t>
  </si>
  <si>
    <t>Ofício nº 30/2026 — produções, Lattes e OpenAlex</t>
  </si>
  <si>
    <t>Preencha as colunas amarelas. As demais são calculadas automaticamente.</t>
  </si>
  <si>
    <t>Docente permanente</t>
  </si>
  <si>
    <t>Maternidade nos 24 meses?</t>
  </si>
  <si>
    <t>Vinculo 40h</t>
  </si>
  <si>
    <t>Horas semanais no curso</t>
  </si>
  <si>
    <t>Nº de vínculos como DP (inclui proposta)</t>
  </si>
  <si>
    <t>Artigos válidos</t>
  </si>
  <si>
    <t>Soma dos índices</t>
  </si>
  <si>
    <t>Média dos artigos</t>
  </si>
  <si>
    <t>Diagnóstico da produção</t>
  </si>
  <si>
    <t>Destaques completos</t>
  </si>
  <si>
    <t>PTTs adicionais completos</t>
  </si>
  <si>
    <t>Indicações exigidas</t>
  </si>
  <si>
    <t>Situação geral</t>
  </si>
  <si>
    <t>ANDERSON SALDANHA BUENO</t>
  </si>
  <si>
    <t>Biodiversidade, Saúde Ambiental e Conservação</t>
  </si>
  <si>
    <t>não</t>
  </si>
  <si>
    <t>sim</t>
  </si>
  <si>
    <t>Tipo de indicação</t>
  </si>
  <si>
    <t>Tipologia oficial do PTT / natureza do destaque</t>
  </si>
  <si>
    <t>Título da experiência/produto</t>
  </si>
  <si>
    <t>Impacto na</t>
  </si>
  <si>
    <t>Dimensão(ões) predominante(s)</t>
  </si>
  <si>
    <t>Palavras-chave</t>
  </si>
  <si>
    <t>Objetivo/foco</t>
  </si>
  <si>
    <t>Descrição dos impactos e evidências</t>
  </si>
  <si>
    <t>ODS e metas</t>
  </si>
  <si>
    <t>Local de aplicação</t>
  </si>
  <si>
    <t>Beneficiários</t>
  </si>
  <si>
    <t>Parcerias</t>
  </si>
  <si>
    <t>Financiamento</t>
  </si>
  <si>
    <t>Potencial de replicabilidade</t>
  </si>
  <si>
    <t>Justificativa de aderência</t>
  </si>
  <si>
    <t>Link de documentos comprobatórios</t>
  </si>
  <si>
    <t>Link do produto</t>
  </si>
  <si>
    <t>Ficha Impacto Real completa?</t>
  </si>
  <si>
    <t>Validação</t>
  </si>
  <si>
    <t>Outros DP envolvidos</t>
  </si>
  <si>
    <t>CARLOS RODRIGO LEHN</t>
  </si>
  <si>
    <t>RANGEL FERNANDES PACHECO</t>
  </si>
  <si>
    <t>High-quality surrounding landscapes mitigate avian extirpations from forest remnants</t>
  </si>
  <si>
    <t>https://doi.org/10.1073/pnas.2521783123</t>
  </si>
  <si>
    <t>Destaque 1</t>
  </si>
  <si>
    <t>Habitat insularization alters taxonomic and functional beta diversity of understorey birds in Amazonian forest islands</t>
  </si>
  <si>
    <t>https://doi.org/10.1098/rsos.260165</t>
  </si>
  <si>
    <t>Livro ou capítulo (somente destaque)</t>
  </si>
  <si>
    <t>Sistemas integrados no contexto das mudanças climáticas</t>
  </si>
  <si>
    <t>CAROLINE LEUCHTENBERGER</t>
  </si>
  <si>
    <t>Ciência e Sociedade</t>
  </si>
  <si>
    <t>Ambiental</t>
  </si>
  <si>
    <t>Aquecimento global, Mudança Climática, Sistemas integrados de producao</t>
  </si>
  <si>
    <t>Capítulo de livro voltado a apresentar alguns impactos dos sistemas integrados agropecuários no contexto das mudanças climáticas.</t>
  </si>
  <si>
    <t>Livro publicado</t>
  </si>
  <si>
    <t>1 e 2</t>
  </si>
  <si>
    <t>Brasília/DF</t>
  </si>
  <si>
    <t>Setor agropecuário</t>
  </si>
  <si>
    <t>Embrapa RO</t>
  </si>
  <si>
    <t>Não</t>
  </si>
  <si>
    <t>Não se aplica</t>
  </si>
  <si>
    <t>Aderente a linha Inovação, Biotecnologia e Sustentabilidade Produtiva</t>
  </si>
  <si>
    <t>https://www.embrapa.br/busca-de-publicacoes/-/publicacao/1178442/sistemas-integrados-no-contexto-das-mudancas-climaticas</t>
  </si>
  <si>
    <t>Evaluation of multiple water immersions of pathogen vector mosquito (Diptera: Culicidae) eggs</t>
  </si>
  <si>
    <t>https://doi.org/10.3389/fitd.2025.1590603</t>
  </si>
  <si>
    <t>EMANUELE JUNGES</t>
  </si>
  <si>
    <t>Inovação, Biotecnologia e Sustentabilidade Produtiva</t>
  </si>
  <si>
    <t>Tree plantations inserted in a benign environmental context can contribute to the maintenance of forest avifauna</t>
  </si>
  <si>
    <t>https://doi.org/10.1016/j.foreco.2025.122985</t>
  </si>
  <si>
    <t>Destaque 2</t>
  </si>
  <si>
    <t xml:space="preserve">Relação Ambiente-Planta-Animal em Sistemas Integrados. </t>
  </si>
  <si>
    <t>Consumo alimentar dos ruminantes</t>
  </si>
  <si>
    <t xml:space="preserve">Capítulo de livro destinado a mostrar o que a ciência tem emcontrado sobre a relação ambiente-planta-animal em Sistemas Integrados. </t>
  </si>
  <si>
    <t>https://www.embrapa.br/busca-de-publicacoes/-/publicacao/1178447/relacao-ambiente-planta-animal-em-sistemas-integrados</t>
  </si>
  <si>
    <t>EVERTON LUTZ</t>
  </si>
  <si>
    <t>Protocolo de amostragem da biodiversidade via monitoramento acústico passivo</t>
  </si>
  <si>
    <t>PTT adicional 1</t>
  </si>
  <si>
    <t>Forragicultura: Base da Pecuária Sustentável</t>
  </si>
  <si>
    <t>Múltiplas - especificar em K</t>
  </si>
  <si>
    <t>Agropecuária, Sustentabilidade Ambiental, Pastagens, Pecuária</t>
  </si>
  <si>
    <t>Livro destinado para estudantes e técnicos da área de pastagens.</t>
  </si>
  <si>
    <t>1, 2 e 4</t>
  </si>
  <si>
    <t>Frederico Westphalen/RS</t>
  </si>
  <si>
    <t>Estudantes e técnicos do segmento agropecuário</t>
  </si>
  <si>
    <t>não se aplica</t>
  </si>
  <si>
    <t>Protocolo de amostragem de aves em parcelas RAPELD</t>
  </si>
  <si>
    <t>https://drive.google.com/file/d/1yDzjHUmogNWsiqyuyKvurF4rlJcnnLlu/view</t>
  </si>
  <si>
    <t>Forest structure predicts plant and animal species diversity and composition changes in an Amazonian forest</t>
  </si>
  <si>
    <t>https://doi.org/10.1007/s10531-025-03136-4</t>
  </si>
  <si>
    <t>FELIPE KETZER</t>
  </si>
  <si>
    <t>PTT adicional 2</t>
  </si>
  <si>
    <t>SISTEMAS INTELIGENTES APLICADOS NA PREDIÇÃO DE PRENHEZ DE NOVILHAS DE DIFERENTES GRUPOS GENÉTICOS ACASALADAS AOS 14-16 MESES DE IDADE</t>
  </si>
  <si>
    <t>How much sampling is enough? Four decades of understorey bird mist-netting across Amazonia define the minimum effort to uncover species assemblage structure</t>
  </si>
  <si>
    <t>https://doi.org/10.1111/ibi.70015</t>
  </si>
  <si>
    <t>análise de componentes principais, aprendizado de máquina, árvore de decisão, escore de condição corporal, peso corporal</t>
  </si>
  <si>
    <t>Artigo de divulgação técnica voltado a predição de prenhez em novilhas de corte, identificando as variáveis de maior impacto.</t>
  </si>
  <si>
    <t>Artigo publicado.</t>
  </si>
  <si>
    <t>Cascavel/PR</t>
  </si>
  <si>
    <t>Pesquisadores do setor pecuário</t>
  </si>
  <si>
    <t>https://themaetscientia.fag.edu.br/index.php/RTES/article/view/2414/2011</t>
  </si>
  <si>
    <t>Disentangling the veil line for Brazilian biodiversity: An overview from two long-term research programs reveals huge gaps in ecological data reporting</t>
  </si>
  <si>
    <t>https://doi.org/10.1016/j.scitotenv.2024.174880</t>
  </si>
  <si>
    <t>GERSON AZULIM MULLER</t>
  </si>
  <si>
    <t>Extending Species-Area Relationships Into the Realm of Ecoacoustics: The Soundscape-Area Relationship</t>
  </si>
  <si>
    <t>https://doi.org/10.1111/ele.14529</t>
  </si>
  <si>
    <t>PTT adicional 3</t>
  </si>
  <si>
    <t>Pastagens e sua Importância Ecológica e Econômica</t>
  </si>
  <si>
    <t xml:space="preserve">alimentos, serviços ecossistêmicos </t>
  </si>
  <si>
    <t>Capítulo de livro voltado a compreensão da importância das pastagens no segmento agropecuário brasileiro.</t>
  </si>
  <si>
    <t>Capítulo de livro</t>
  </si>
  <si>
    <t>https://drive.google.com/file/d/1vwIDQ6lMsAjN4vNzT2_5B9lQWWCojmjt/view?usp=sharing</t>
  </si>
  <si>
    <t>Number of forest fragments and understory plants exert opposite effects on multiple facets of bird diversity in eucalypt plantations</t>
  </si>
  <si>
    <t>https://doi.org/10.1007/s10980-023-01601-5</t>
  </si>
  <si>
    <t>GERUZA LEAL MELO</t>
  </si>
  <si>
    <t>Pervasive gaps in Amazonian ecological research</t>
  </si>
  <si>
    <t>https://doi.org/10.1016/j.cub.2023.06.077</t>
  </si>
  <si>
    <t>Pequenos fragmentos florestais podem conservar mais aves quando o entorno é favorável</t>
  </si>
  <si>
    <t>conservação da biodiversidade, fragmentação do habitat, florestas tropicais</t>
  </si>
  <si>
    <t>Divulgar estratégias de manejo em propriedades rurais que contribuam para a conservação de aves em fragmentos florestais.</t>
  </si>
  <si>
    <t>Textos em jornais de notícias/revistas</t>
  </si>
  <si>
    <t>Global</t>
  </si>
  <si>
    <t>Gestores públicos, órgãos de conservação da natureza, proprierários rurais e cientistas</t>
  </si>
  <si>
    <t>University of East Anglia (Reino Unido) e Slippery Rock University (Estados Unidos)</t>
  </si>
  <si>
    <t>https://doi.org/10.64628/ADE.whu7r59mf</t>
  </si>
  <si>
    <t>Assessing assemblage-wide mammal responses to different types of habitat modification in Amazonian forests</t>
  </si>
  <si>
    <t>https://doi.org/10.1038/s41598-022-05450-1</t>
  </si>
  <si>
    <t>JONAS SPONCHIADO</t>
  </si>
  <si>
    <t>Emergent properties of species-habitat networks in an insular forest landscape</t>
  </si>
  <si>
    <t>Volnei Luiz Meneghetti</t>
  </si>
  <si>
    <t>https://doi.org/10.1126/sciadv.abm0397</t>
  </si>
  <si>
    <t>PROTOCOLO TECNOLÓGICO-OPERACIONAL PARA ARMAZENAMENTO E QUALIDADE DE TRIGO PARA INDÚSTRIA</t>
  </si>
  <si>
    <t>Ciência</t>
  </si>
  <si>
    <t>Armazenamento; Abastecimento; Grãos</t>
  </si>
  <si>
    <t>Capítulo apresenta um protocolo tecnológico-operacional para o armazenamento de trigo destinado à indústria, com orientações para reduzir perdas pós-colheita e preservar a qualidade dos grãos e seus derivados.</t>
  </si>
  <si>
    <t>2 e 12</t>
  </si>
  <si>
    <t>Setor produtivo de grãos</t>
  </si>
  <si>
    <t>Conab/DF</t>
  </si>
  <si>
    <t>https://www.gov.br/conab/pt-br/acesso-a-informacao/institucional/publicacoes/outras-publicacoes/Perdas%20em%20transporte%20e%20armanenagem%20de%20graos/%40%40download/file</t>
  </si>
  <si>
    <t>Little noticed, but very important: The role of breeding sites formed by bamboos in maintaining the diversity of mosquitoes (Diptera: Culicidae) in the Atlantic Forest biome</t>
  </si>
  <si>
    <t>https://doi.org/10.1371/journal.pone.0273774</t>
  </si>
  <si>
    <t>LESSANDRO DE CONTI</t>
  </si>
  <si>
    <t>A framework for quantifying soundscape diversity using Hill numbers</t>
  </si>
  <si>
    <t>https://doi.org/10.1111/2041-210x.13924</t>
  </si>
  <si>
    <t>Diagnóstico de perdas qualitativas e quantitativas no armazenamento de trigo.</t>
  </si>
  <si>
    <t>Trigo; Armazenamento de grãos; Perdas pós-colheita.</t>
  </si>
  <si>
    <t>Diagnosticar as perdas qualitativas e quantitativas no armazenamento de trigo, identificando fatores que comprometem a conservação dos grãos e oportunidades para reduzir perdas pós-colheita.</t>
  </si>
  <si>
    <t>Passo Fundo/RS</t>
  </si>
  <si>
    <t>Embrapa Trigo</t>
  </si>
  <si>
    <t>Connecting Amazonian historical biogeography and local assemblages of understorey birds: Recurrent guild proportionality within areas of endemism</t>
  </si>
  <si>
    <t>https://doi.org/10.1111/jbi.14301</t>
  </si>
  <si>
    <t>https://www.infoteca.cnptia.embrapa.br/infoteca/bitstream/doc/1124354/1/DocOnline-186-Casiane-completo.pdf</t>
  </si>
  <si>
    <t>LETICIA TREVISAN GRESSLER</t>
  </si>
  <si>
    <t>Carlos Rodrigo Lehn</t>
  </si>
  <si>
    <t>Global Roadkill Data: a dataset on terrestrial vertebrate mortality caused by collision with vehicles</t>
  </si>
  <si>
    <t>https://doi.org/10.1038/s41597-024-04207-x</t>
  </si>
  <si>
    <t>Kátia Maria Cardinal</t>
  </si>
  <si>
    <t>Plant size, latitude, and phylogeny explain within-population variability in herbivory</t>
  </si>
  <si>
    <t>https://doi.org/10.1126/science.adh8830</t>
  </si>
  <si>
    <t>MICAELA GUIDOTTI TAKEUCHI</t>
  </si>
  <si>
    <t>Global Impact of Antimicrobial Growth Promoters on Livestock Productivity: A Meta-Analysis for Economic Modeling</t>
  </si>
  <si>
    <t>Antimicrobianos; Meta-análise; Frangos, Suínos, Bovinos.</t>
  </si>
  <si>
    <t>Este estudo abordou, por meio de uma revisão sistemática e meta-análise, o impacto do uso de antimicrobianos promotores de crescimento em frangos de corte, suínos e bovinos em diferentes sistemas de produção.</t>
  </si>
  <si>
    <t>Artigo publicado que foi utilizado como base para o relatório da FAO sobre o uso de antimicrobioanos na produção animal.</t>
  </si>
  <si>
    <t>12 e 15</t>
  </si>
  <si>
    <t>Setor de produção animal.</t>
  </si>
  <si>
    <t>Food and Agriculture Organization of the United Nations (FAO)</t>
  </si>
  <si>
    <t>Ãderente a linha Inovação, Biotecnologia e Sustentabilidade Produtiva</t>
  </si>
  <si>
    <t>https://doi.org/10.1016/j.prevetmed.2025.106754</t>
  </si>
  <si>
    <t>EducaÃ§Ã£o Ambiental e preservaÃ§Ã£o da biodiversidade: relato de um estudo de caso em distintas realidades escolares</t>
  </si>
  <si>
    <t>https://doi.org/10.34024/revbea.2022.v17.13415</t>
  </si>
  <si>
    <t>Caroline Leuchtenberger</t>
  </si>
  <si>
    <t>The future of antimicrobial use in livestock</t>
  </si>
  <si>
    <t>Antimicrobianos; saúde única; produção animal.</t>
  </si>
  <si>
    <t>Co-designing pathways to human?giant otter coexistence in the Pantanal</t>
  </si>
  <si>
    <t>Fornecer projeções econômicas e de uso de antimicrobianos a longo prazo, servindo como uma ferramenta de tomada de decisão para governos, produtores e indústrias. Ele visa demonstrar que o custo da inação contra a resistência aos antimicrobianos na agropecuária é drasticamente maior do que o investimento necessário para adotar práticas sustentáveis.</t>
  </si>
  <si>
    <t>https://doi.org/10.1017/s0030605325102743</t>
  </si>
  <si>
    <t>O relatório da FAO evidencia que a inação contra a resistência bacteriana gerará uma perda econômica de US$ 318 bilhões na pecuária global até 2040. Esse cenário força governos e produtores a investirem urgentemente em biossegurança e vacinação para conter o aumento no uso de antimicrobianos. Na prática, a eficácia de medicamentos vitais diminui, elevando a mortalidade de rebanhos e encarecendo a produção de alimentos. Como consequência direta, a saúde pública global é ameaçada pela disseminação de superbactérias pela cadeia alimentar, afetando a segurança alimentar mundial.</t>
  </si>
  <si>
    <t>Governos, indústrias e setor agropecuário</t>
  </si>
  <si>
    <t>https://openknowledge.fao.org/handle/20.500.14283/cd9571en</t>
  </si>
  <si>
    <t>Pathogen Surveillance in Free-ranging Giant Otters (Pteronura brasiliensis) in Three Ecoregions of Brazil</t>
  </si>
  <si>
    <t>https://doi.org/10.7589/jwd-d-25-00104</t>
  </si>
  <si>
    <t>TATIANA TOZZI MARTINS SOUZA RODRIGUES</t>
  </si>
  <si>
    <t>Challenges for the Conservation of the World's Largest Otter in the Land of Jaguars</t>
  </si>
  <si>
    <t>https://doi.org/10.1017/s003060532500002x</t>
  </si>
  <si>
    <t>INTERGROUP CONFLICT AND MYIASIS-INDUCED MORTALITY IN A GIANT OTTER FROM THE BRAZILIAN PANTANAL: IMPLICATIONS FOR</t>
  </si>
  <si>
    <t>Identifying spatial conservation priorities for the giant otter (Pteronura brasiliensis)</t>
  </si>
  <si>
    <t>https://doi.org/10.5597/lajam00356</t>
  </si>
  <si>
    <t>Pervasive mercury contamination of a semiaquatic apex predator across the Pantanal wetland</t>
  </si>
  <si>
    <t>https://doi.org/10.1017/s0376892925100155</t>
  </si>
  <si>
    <t>Luana Mendes dos Santos</t>
  </si>
  <si>
    <t>Noteworthy records of the ticks Ornithodoros rostratus and Amblyomma sculptum parasitizing Pteronura brasiliensis in the central-western region of Brazil, with pathogen investigation notes</t>
  </si>
  <si>
    <t>https://doi.org/10.1590/s1984-29612024003</t>
  </si>
  <si>
    <t>Camera trap surveys of tlantic orest mammals: A data set for analyses considering imperfect detection (2004-2020)</t>
  </si>
  <si>
    <t>https://doi.org/10.1002/ecy.4298</t>
  </si>
  <si>
    <t>The Salto Morato Manifest for Conservation Translocations</t>
  </si>
  <si>
    <t>https://doi.org/10.1017/s0030605324000231</t>
  </si>
  <si>
    <t>NEW CONFIRMED RECORDS OF THE GIANT OTTER (Pteronura brasiliensis, GMELIN, 1788) IN ARGENTINA</t>
  </si>
  <si>
    <t>Amblyomma sculptum ticks on a giant otter from the Brazilian Pantanal</t>
  </si>
  <si>
    <t>https://doi.org/10.1590/s1984-29612023053</t>
  </si>
  <si>
    <t>First report of myiasis caused by Cochliomyia hominivorax in free-ranging giant otter (Pteronura brasiliensis)</t>
  </si>
  <si>
    <t>https://doi.org/10.1590/s1984-29612022058</t>
  </si>
  <si>
    <t>Cleudson JosÃ© Michelon</t>
  </si>
  <si>
    <t>Control of Meloidogyne javanica with aqueous extract of Trichilia claussenii</t>
  </si>
  <si>
    <t>https://doi.org/10.5902/2179460x89957</t>
  </si>
  <si>
    <t>Tabaco em sistema de cultivo mÃ­nimo: influÃªncia das plantas de cobertura nas propriedades fÃ­sicas do solo e produtividade</t>
  </si>
  <si>
    <t>https://doi.org/10.55905/rdelosv18.n69-022</t>
  </si>
  <si>
    <t>Cover crops as a vehicle for soil application of bio-inputs based on Azospirillum brasilense and Bacillus amyloliquefaciens</t>
  </si>
  <si>
    <t>https://doi.org/10.1590/1519-6984.299282</t>
  </si>
  <si>
    <t>PHYSICAL ATTRIBUTES OF SOIL AND WHEAT PRODUCTIVITY AS A FUNCTION OF COVERING PLANTS AND MECHANICAL CHISELING</t>
  </si>
  <si>
    <t>https://doi.org/10.5747/ca.2023.v19.h534</t>
  </si>
  <si>
    <t>GerminaÃ§Ã£o de sementes de azevÃ©m submetidas a diferentes Ã©pocas de dessecaÃ§Ã£o prÃ©-colheita</t>
  </si>
  <si>
    <t>Emanuele Junges</t>
  </si>
  <si>
    <t>First Report of Meloidogyne javanica Infecting Dietes bicolor in Brazil</t>
  </si>
  <si>
    <t>https://doi.org/10.1111/jph.70265</t>
  </si>
  <si>
    <t>Control of Meloidogyne javanica with Aqueous Extract of Trichilia claussenii</t>
  </si>
  <si>
    <t>Éverton Lutz</t>
  </si>
  <si>
    <t>Effects of the storage temperature and time of corn from the center and extremities of corncob on quality parameters</t>
  </si>
  <si>
    <t>https://doi.org/10.1016/j.jcs.2023.103645</t>
  </si>
  <si>
    <t>Equilibrium Moisture Content and Dioxide Carbon Monitoring in Real-Time to Predict the Quality of Corn Grain Stored in Silo Bags using Artificial Neural Networks</t>
  </si>
  <si>
    <t>https://doi.org/10.1007/s12161-023-02497-2</t>
  </si>
  <si>
    <t>Applications of new technologies for monitoring and predicting grains quality stored: Sensors, Internet of Things, and Artificial Intelligence</t>
  </si>
  <si>
    <t>https://doi.org/10.1016/j.measurement.2021.110609</t>
  </si>
  <si>
    <t>Real-time equilibrium moisture content monitoring to predict grain quality of corn stored in silo and raffia bags</t>
  </si>
  <si>
    <t>https://doi.org/10.1111/jfpe.14076</t>
  </si>
  <si>
    <t>Prototype wireless sensor network and Internet of Things platform for real-time monitoring of intergranular equilibrium moisture content and predict the quality corn stored in silos bags</t>
  </si>
  <si>
    <t>https://doi.org/10.1016/j.eswa.2022.118242</t>
  </si>
  <si>
    <t>Nondestructive technology for real-time monitoring and prediction of soybean quality using Machine Learning for a bulk transport simulation</t>
  </si>
  <si>
    <t>https://doi.org/10.1109/jsen.2022.3226168</t>
  </si>
  <si>
    <t>Fe3+ and Mn2+ Removal from Water Solutions by Clinoptilolite Zeolites as a Potential Treatment for Groundwater Wells</t>
  </si>
  <si>
    <t>https://doi.org/10.3390/pr13041060</t>
  </si>
  <si>
    <t>Valorization of winemaking residues as biochar for removing Ni(II) from real industrial painting process effluent in a fixed-bed column</t>
  </si>
  <si>
    <t>https://doi.org/10.1007/s11356-024-32385-z</t>
  </si>
  <si>
    <t>Adsorption of methane by modified-biochar aiming to improve the gaseous fuels storage/transport capacity: process evaluation and modeling</t>
  </si>
  <si>
    <t>https://doi.org/10.1007/s11356-024-34465-6</t>
  </si>
  <si>
    <t>Sustainability Index in the Yerba Mate Industry in Southern Brazil</t>
  </si>
  <si>
    <t>https://doi.org/10.1007/s12161-024-02732-4</t>
  </si>
  <si>
    <t>Polishing of painting process effluents through adsorption with biochar from winemaking residues</t>
  </si>
  <si>
    <t>https://doi.org/10.1007/s11356-022-20488-4</t>
  </si>
  <si>
    <t>Kinetic and Thermodynamic Study of Enzymatic Hydroesterification Mechanism to Fatty Acid Methyl Esters Synthesis</t>
  </si>
  <si>
    <t>https://doi.org/10.1016/j.biortech.2022.127335</t>
  </si>
  <si>
    <t xml:space="preserve">An assessment on kinetic modeling of esterification reaction from oleic acid and methyl acetate over USY zeolite. </t>
  </si>
  <si>
    <r>
      <rPr>
        <rFont val="Arial"/>
        <color rgb="FF1155CC"/>
        <sz val="8.0"/>
        <u/>
      </rPr>
      <t>http://dx.doi.org/10.1016/j.micromeso.2021.110890</t>
    </r>
    <r>
      <rPr>
        <rFont val="Arial"/>
        <color rgb="FF1F2937"/>
        <sz val="8.0"/>
      </rPr>
      <t xml:space="preserve"> </t>
    </r>
  </si>
  <si>
    <t>Exterior</t>
  </si>
  <si>
    <t>Scopus</t>
  </si>
  <si>
    <t>Aprendizagem significativa: transformando a sala de aula em laboratório para o ensino de ciências.</t>
  </si>
  <si>
    <r>
      <rPr>
        <rFont val="Arial"/>
        <color rgb="FF1155CC"/>
        <sz val="8.0"/>
        <u/>
      </rPr>
      <t>http://dx.doi.org/10.36661/2595-4520.2021v4i2.12066</t>
    </r>
    <r>
      <rPr>
        <rFont val="Arial"/>
        <color rgb="FF1F1F1F"/>
        <sz val="8.0"/>
      </rPr>
      <t xml:space="preserve"> </t>
    </r>
  </si>
  <si>
    <t>Gerson Azulim Muller</t>
  </si>
  <si>
    <t>Phytotelm and anthropogenic mosquitoes: community structure in natural and artificial habitats in an Atlantic Forest agroforestry system, Rio de Janeiro, Brazil</t>
  </si>
  <si>
    <t>Mosquitoes (diptera: culicidae) in bamboo internodes in the northwestern region of the state of Rio Grande do Sul, Brazil</t>
  </si>
  <si>
    <t>https://doi.org/10.5216/rpt.v51i2.70392</t>
  </si>
  <si>
    <t>Effects of seasonality on the oviposition activity of potential vector mosquitoes (Diptera: Culicidae) from the SÃƒÂ£o JoÃƒÂ£o River Basin Environmental Protection Area of the state of Rio de Janeiro, Brazil</t>
  </si>
  <si>
    <t>https://doi.org/10.1080/24750263.2022.2108513</t>
  </si>
  <si>
    <t>Marsupials (Didelphidae, Mammalia) of Mato Grosso do Sul state (Brazil): taxonomic accounts, species richness, and biogeography</t>
  </si>
  <si>
    <t>https://doi.org/10.3897/zookeys.1243.141601</t>
  </si>
  <si>
    <t>Candidatus Rickettsia andeanae? and Probable Exclusion of Rickettsia parkeri in Ticks from Dogs in a Natural Area of the Pampa Biome in Brazil</t>
  </si>
  <si>
    <t>https://doi.org/10.3390/pathogens12030446</t>
  </si>
  <si>
    <t>The Role of Habitat Amount and Vegetation Density for Explaining Loss of Small-Mammal Diversity in a South American Woodland Savanna</t>
  </si>
  <si>
    <t>https://doi.org/10.3389/fevo.2022.740371</t>
  </si>
  <si>
    <t>Ecological evidence of hierarchy and competition in Didelphis aurita females</t>
  </si>
  <si>
    <t>https://doi.org/10.1007/s42991-022-00269-9</t>
  </si>
  <si>
    <t>Rickettsial infection in ticks from a natural area of Atlantic Forest biome in southern Brazil</t>
  </si>
  <si>
    <t>https://doi.org/10.1007/s10493-022-00754-3</t>
  </si>
  <si>
    <t>Niche partitioning in small mammals: interspecific and biome-level analyses using stable isotopes</t>
  </si>
  <si>
    <t>https://doi.org/10.1093/jmammal/gyab063</t>
  </si>
  <si>
    <t>Rickettsial Infection in Ticks from a National Park in the Cerrado Biome, Midwestern Brazil</t>
  </si>
  <si>
    <t>https://doi.org/10.3390/pathogens13010013</t>
  </si>
  <si>
    <t>Aflatoxin contamination in commercial egg hens production – systematic review and meta-analysis</t>
  </si>
  <si>
    <r>
      <rPr>
        <rFont val="Arial"/>
        <color rgb="FF1155CC"/>
        <sz val="11.0"/>
        <u/>
      </rPr>
      <t>10.1080/00439339.2026.2626674</t>
    </r>
  </si>
  <si>
    <t>Global impact of antimicrobial growth promoters on livestock productivity: a meta-analysis for economic modeling</t>
  </si>
  <si>
    <r>
      <rPr>
        <rFont val="Arial"/>
        <color rgb="FF1155CC"/>
        <sz val="11.0"/>
        <u/>
      </rPr>
      <t>10.1016/j.prevetmed.2025.106754</t>
    </r>
  </si>
  <si>
    <t>Impact of phytogenic additive and sodium monensin on broiler gut microbiota and immune response to Eimeria infection</t>
  </si>
  <si>
    <r>
      <rPr>
        <rFont val="Arial"/>
        <color rgb="FF1155CC"/>
        <sz val="11.0"/>
        <u/>
      </rPr>
      <t>10.1016/j.rvsc.2025.105989</t>
    </r>
  </si>
  <si>
    <t>Is there an appropriate energy level in the diet during the cow transition period? A systematic review and meta-analysis</t>
  </si>
  <si>
    <r>
      <rPr>
        <rFont val="Arial"/>
        <color rgb="FF1155CC"/>
        <sz val="11.0"/>
        <u/>
      </rPr>
      <t>10.1017/S002202992510112X</t>
    </r>
  </si>
  <si>
    <t>Non-invasive biomarkers for monitoring intestinal health in broilers – a systematic review</t>
  </si>
  <si>
    <r>
      <rPr>
        <rFont val="Arial"/>
        <color rgb="FF1155CC"/>
        <sz val="11.0"/>
        <u/>
      </rPr>
      <t>10.1016/j.rvsc.2025.105669</t>
    </r>
  </si>
  <si>
    <t>Physical characteristics of meat from native Brazilian sheep breeds: a systematic review and meta-analysis</t>
  </si>
  <si>
    <r>
      <rPr>
        <rFont val="Arial"/>
        <color rgb="FF1155CC"/>
        <sz val="11.0"/>
        <u/>
      </rPr>
      <t>10.5433/1679-0359.2025v46n5p1485</t>
    </r>
  </si>
  <si>
    <t>Brasil</t>
  </si>
  <si>
    <t>The impact of laying hen housing systems on egg production, egg quality, and intestinal microbiota of the hens</t>
  </si>
  <si>
    <r>
      <rPr>
        <rFont val="Arial"/>
        <color rgb="FF1155CC"/>
        <sz val="11.0"/>
        <u/>
      </rPr>
      <t>10.1079/cabireviews.2025.0060</t>
    </r>
  </si>
  <si>
    <t>Honey consumer's perception: are Brazilian consumers familiar with stingless bee honey?</t>
  </si>
  <si>
    <r>
      <rPr>
        <rFont val="Arial"/>
        <color rgb="FF1155CC"/>
        <sz val="11.0"/>
        <u/>
      </rPr>
      <t>10.14393/BJ-v40n0a2024-68089</t>
    </r>
  </si>
  <si>
    <t>Lactation performance, feed efficiency, and blood metabolites of dairy cows treated with recombinant bovine somatotropin: a systematic review and meta-analysis</t>
  </si>
  <si>
    <r>
      <rPr>
        <rFont val="Arial"/>
        <color rgb="FF1155CC"/>
        <sz val="11.0"/>
        <u/>
      </rPr>
      <t>10.1016/j.rvsc.2024.105274</t>
    </r>
  </si>
  <si>
    <t>The impact of different levels of functional oil supplementation in combination with salinomycin on growth performance and intestinal microbiota of broilers undergoing Eimeria challenge: an analysis of dynamics</t>
  </si>
  <si>
    <r>
      <rPr>
        <rFont val="Arial"/>
        <color rgb="FF1155CC"/>
        <sz val="11.0"/>
        <u/>
      </rPr>
      <t>10.1016/j.rvsc.2024.105249</t>
    </r>
  </si>
  <si>
    <t>Different life cycle assessment methods and causes of variation in estimates of global warming in chicken and pork production systems: a critical systematic review</t>
  </si>
  <si>
    <r>
      <rPr>
        <rFont val="Arial"/>
        <color rgb="FF1155CC"/>
        <sz val="11.0"/>
        <u/>
      </rPr>
      <t>10.1016/j.livsci.2023.105320</t>
    </r>
  </si>
  <si>
    <t>Yolk and eggshell colour: are these the parameters that influence egg purchasing? A systematic review</t>
  </si>
  <si>
    <r>
      <rPr>
        <rFont val="Arial"/>
        <color rgb="FF1155CC"/>
        <sz val="11.0"/>
        <u/>
      </rPr>
      <t>10.1080/00439339.2023.2234341</t>
    </r>
  </si>
  <si>
    <t>Development of an innovative green coating to reduce egg losses</t>
  </si>
  <si>
    <r>
      <rPr>
        <rFont val="Arial"/>
        <color rgb="FF1155CC"/>
        <sz val="11.0"/>
        <u/>
      </rPr>
      <t>10.1016/j.clet.2021.100065</t>
    </r>
  </si>
  <si>
    <t>Effect of functional oils or probiotics on performance and microbiota profile of newly weaned piglets</t>
  </si>
  <si>
    <r>
      <rPr>
        <rFont val="Arial"/>
        <color rgb="FF1155CC"/>
        <sz val="11.0"/>
        <u/>
      </rPr>
      <t>10.1038/s41598-021-98549-w</t>
    </r>
  </si>
  <si>
    <t>Estimation of productive losses caused by withdrawal of antibiotic growth promoter from pig diets – Meta-analysis</t>
  </si>
  <si>
    <r>
      <rPr>
        <rFont val="Arial"/>
        <color rgb="FF1155CC"/>
        <sz val="11.0"/>
        <u/>
      </rPr>
      <t>10.1590/1678-992X-2020-0266</t>
    </r>
  </si>
  <si>
    <t>Struvite potential as a slow-release fertilizer for phosphorus sustainable management in Brazilian agriculture</t>
  </si>
  <si>
    <t>https://doi.org/10.36783/18069657rbcs20240127</t>
  </si>
  <si>
    <t>Annual Urea Nitrogen Contribution to the Nutrition of Cabernet Sauvignon Grapevine Grown in Sandy and Clayey Soil</t>
  </si>
  <si>
    <t>https://doi.org/10.3390/agronomy14010101</t>
  </si>
  <si>
    <t>Cu Concentration in Vegetable-Cultivated Soil: Comparison Between Open Fields and Protected Environments in Brazil</t>
  </si>
  <si>
    <t>https://doi.org/10.3390/horticulturae10111183</t>
  </si>
  <si>
    <t>Qualidade fisiolÃ³gica de sementes, desempenho a campo e viabilidade econÃ´mica da cultura da soja submetida Ã inoculaÃ§Ã£o de sementes com diferentes produtos biolÃ³gicos</t>
  </si>
  <si>
    <t>https://doi.org/10.26669/2448-4091.2024.425</t>
  </si>
  <si>
    <t>Phosphorus critical levels in soil and grapevine leaves for South Brazil vineyards: A Bayesian approach</t>
  </si>
  <si>
    <t>https://doi.org/10.1016/j.eja.2023.126752</t>
  </si>
  <si>
    <t>Phytoremediation of Cu-contaminated vineyard soils in Brazil: A compendium of Brazilian pot studies</t>
  </si>
  <si>
    <t>https://doi.org/10.1002/jeq2.20503</t>
  </si>
  <si>
    <t>Long-Term Effects of Animal Manures on Nutrient Recovery and Soil Quality in Acid Typic Hapludalf under No-Till Conditions</t>
  </si>
  <si>
    <t>https://doi.org/10.3390/agronomy12020243</t>
  </si>
  <si>
    <t>Plant species and pH dependent responses to copper toxicity</t>
  </si>
  <si>
    <t>https://doi.org/10.1016/j.envexpbot.2022.104791</t>
  </si>
  <si>
    <t>Throwing Copper Around: How Plants Control Uptake, Distribution, and Accumulation of Copper</t>
  </si>
  <si>
    <t>https://doi.org/10.3390/agronomy12050994</t>
  </si>
  <si>
    <t>Nitrogen Critical Level in Leaves in -Chardonnay? and -Pinot Noir? Grapevines to Adequate Yield and Quality Must</t>
  </si>
  <si>
    <t>https://doi.org/10.3390/agronomy12051132</t>
  </si>
  <si>
    <t>The tolerance of grapevine rootstocks to copper excess and to the use of calcium and phosphorus to mitigate its phytotoxicity</t>
  </si>
  <si>
    <t>https://doi.org/10.1007/s11356-022-21515-0</t>
  </si>
  <si>
    <t>Physiological and biochemical characterization of copper-toxicity tolerance mechanism in grass species native to Pampa Biome and Atlantic Forest for use in phytoremediation</t>
  </si>
  <si>
    <t>https://doi.org/10.1007/s11356-022-22570-3</t>
  </si>
  <si>
    <t>PARÃ‚METROS PRODUTIVOS DE DIFERENTES HÃ_x008d_BRIDOS DE MILHO NA SAFRA 2019/2020 DA REGIÃƒO NOROESTE DO ESTADO DO RIO GRANDE DO SUL</t>
  </si>
  <si>
    <t>Efeito de diferentes doses de zinco na qualidade de sementes de diferentes cultivares de trigo</t>
  </si>
  <si>
    <t>https://doi.org/10.35819/scientiatec.v9i2.5192</t>
  </si>
  <si>
    <t>Remote Sensing of Nematode Stress in Coffee: UAV-Based Multispectral and Thermal Imaging Approaches</t>
  </si>
  <si>
    <t>https://doi.org/10.3390/agriengineering8010022</t>
  </si>
  <si>
    <t>Use of Images Obtained by Remotely Piloted Aircraft and Random Forest for the Detection of Leaf Miner (Leucoptera coffeella) in Newly Planted Coffee Trees</t>
  </si>
  <si>
    <t>https://doi.org/10.3390/rs16040728</t>
  </si>
  <si>
    <t>Spatial and temporal variability of enthalpy and its influence on the cloacal temperature of broilers</t>
  </si>
  <si>
    <t>https://doi.org/10.15159/ar.24.057</t>
  </si>
  <si>
    <t>A Spatial Analysis of Coffee Plant Temperature and Its Relationship with Water Potential and Stomatal Conductance Using a Thermal Camera Embedded in a Remotely Piloted Aircraft</t>
  </si>
  <si>
    <t>https://doi.org/10.3390/agronomy14102414</t>
  </si>
  <si>
    <t>Geostatistical Approach to Determining the Pressure Head Spatial Distribution along the Center-Pivot Lateral Line</t>
  </si>
  <si>
    <t>https://doi.org/10.1061/jidedh.ireng-10195</t>
  </si>
  <si>
    <t>Preliminary study on the potential use of RPA images to quantify the influence of the defoliation after coffee harvesting to its yield</t>
  </si>
  <si>
    <t>https://doi.org/10.15159/ar.23.084</t>
  </si>
  <si>
    <t>Characterization of Recently Planted Coffee Cultivars from Vegetation Indices Obtained by a Remotely Piloted Aircraft System</t>
  </si>
  <si>
    <t>https://doi.org/10.3390/su14031446</t>
  </si>
  <si>
    <t>Vegetation Indices Applied to Suborbital Multispectral Images of Healthy Coffee and Coffee Infested with Coffee Leaf Miner</t>
  </si>
  <si>
    <t>https://doi.org/10.3390/agriengineering4010021</t>
  </si>
  <si>
    <t>Spatial variability characterization of acoustic discomfort and zone of admissible noise caused by micro-tractor</t>
  </si>
  <si>
    <t>https://doi.org/10.15446/rfnam.v75n2.96242</t>
  </si>
  <si>
    <t>Statistical process control and geostatistics on the characterization of the noise produced by a backhoe loader</t>
  </si>
  <si>
    <t>https://doi.org/10.13083/reveng.v30i1.13759</t>
  </si>
  <si>
    <t>Anti-Campylobacter Activity of Ternary Copper(II) Complexes with Imine Ligands and 4â€²-(4-Methylphenyl)-2,2â€²:6â€²,2â€³-Terpyridine</t>
  </si>
  <si>
    <t>BRACHIARIA AS AN ALTERNATIVE HOST OF MAGNAPORTHE ORYZAE: EPIDEMIOLOGICAL IMPLICATIONS FOR WHEAT BLAST</t>
  </si>
  <si>
    <t>https://doi.org/10.23900/artefactum.v25i1.2547</t>
  </si>
  <si>
    <t>Traditional vs Innovative Sanitizers: and Challenge in Multidrug-Resistant Bacteria</t>
  </si>
  <si>
    <t>https://doi.org/10.1021/acsomega.5c08705</t>
  </si>
  <si>
    <t>Biocontrol of Salmonella Heidelberg and Escherichia coli from a nanotechnological perspective</t>
  </si>
  <si>
    <t>https://doi.org/10.1016/j.fbio.2025.107249</t>
  </si>
  <si>
    <t>Transfer of blaTEM gene between Salmonella and Escherichia coli under processing conditions of animal products: influence of a copper(II) complex</t>
  </si>
  <si>
    <t>https://doi.org/10.3389/fmicb.2025.1676649</t>
  </si>
  <si>
    <t>Roles of viable but non-culturable state in the survival of Campylobacter jejuni</t>
  </si>
  <si>
    <t>https://doi.org/10.3389/fcimb.2023.1122450</t>
  </si>
  <si>
    <t>New Palladium(II) Complexes Containing Methyl Gallate and Octyl Gallate: Effect against Mycobacterium tuberculosis and Campylobacter jejuni</t>
  </si>
  <si>
    <t>https://doi.org/10.3390/molecules28093887</t>
  </si>
  <si>
    <t>Interference with Bacterial Conjugation and Natural Alternatives to Antibiotics: Bridging a Gap</t>
  </si>
  <si>
    <t>https://doi.org/10.3390/antibiotics12071127</t>
  </si>
  <si>
    <t>A Ternary Copper (II) Complex with 4-Fluorophenoxyacetic Acid Hydrazide in Combination with Antibiotics Exhibits Positive Synergistic Effect against Salmonella Typhimurium</t>
  </si>
  <si>
    <t>https://doi.org/10.3390/antibiotics11030388</t>
  </si>
  <si>
    <t>Essential Oil-Based Nanoparticles as Antimicrobial Agents in the Food Industry</t>
  </si>
  <si>
    <t>https://doi.org/10.3390/microorganisms10081504</t>
  </si>
  <si>
    <t>Antimicrobial Resistance Challenged with Platinum(II) and Palladium(II) Complexes Containing 1,10-Phenanthroline and 5-Amino-1,3,4-Thiadiazole-2(3H)-Thione in Campylobacter jejuni</t>
  </si>
  <si>
    <t>https://doi.org/10.3390/antibiotics11111645</t>
  </si>
  <si>
    <t>Comparison of the effects of slow-release urea vs conventional urea supplementation on some finishing cattle parameters: A meta-analysis</t>
  </si>
  <si>
    <t>https://doi.org/10.1016/j.livsci.2021.104549</t>
  </si>
  <si>
    <t>WoS</t>
  </si>
  <si>
    <t>Carcass characteristics of immunocastrated steers finished on diets with different energy patterns.</t>
  </si>
  <si>
    <t>https://doi.org/10.4314/sajas.v51i1.13</t>
  </si>
  <si>
    <t>Dimensions</t>
  </si>
  <si>
    <t>Nutritional management and sexual condition in cattle determine differentiation in the fatty acid profile of meat</t>
  </si>
  <si>
    <t>https://doi.org/10.5433/1679-0359.2021v42n4p2453</t>
  </si>
  <si>
    <t>Body mass index at calving on performance and efficiency of Zebu cow herds</t>
  </si>
  <si>
    <t>https://doi.org/10.5433/1679-0359.2022v43n1p197</t>
  </si>
  <si>
    <t>Probability of pregnancy in beef cows with early-weaned calve</t>
  </si>
  <si>
    <t>https://doi.org/10.1016/j.livsci.2022.104854</t>
  </si>
  <si>
    <t>Environmental factors on the probability of pregnancy in early or conventionally weaned beef cows</t>
  </si>
  <si>
    <t>https://doi.org/10.1590/1984-3143-AR2023-0054</t>
  </si>
  <si>
    <t>Effect of the performance, calving date and lactation period on the probability of pregnancy in beef cows</t>
  </si>
  <si>
    <t>http://doi.org/10.1590/1678-992X-2022-0088</t>
  </si>
  <si>
    <t>Meta-analysis of meat quality studies of cattle slaughtered with different subcutaneous fat thicknesses</t>
  </si>
  <si>
    <t>https://doi.org/10.1590/S1678-3921.pab2023.v58.03110</t>
  </si>
  <si>
    <t>Meta-analysis of carcass and meat characteristics of young or super young steers and of different sexual conditions finished in confinement</t>
  </si>
  <si>
    <t>https://doi.org/10.17523/bia.2023.v80.e1514</t>
  </si>
  <si>
    <t>Factors intrinsic to handling and transport in pre-slaughter behavioural changes in beef cattle</t>
  </si>
  <si>
    <t>https://doi.org/10.1007/s11259-024-10329-9</t>
  </si>
  <si>
    <t>Grazing management of Panicum maximum cvv. Mombaça and Tanzania pastures for beef cattle: a meta-analytic study</t>
  </si>
  <si>
    <t>https://doi.org/10.1071/CP24001</t>
  </si>
  <si>
    <t>A meta analysis on carcass and meat traits of feedlot steers from different genetic backgrounds in Brazil</t>
  </si>
  <si>
    <t>https://doi.org/10.1590/1809-6891v25e-78628E</t>
  </si>
  <si>
    <t>Effect of weaning age on pregnancy rates in Braford beef heifers bred at 13 months.</t>
  </si>
  <si>
    <t>https://doi.org/10.1590/1984-3143-AR2025-0043</t>
  </si>
  <si>
    <t>Productive factors associated with pregnancy in beef cows at different ages</t>
  </si>
  <si>
    <t>https://doi.org/10.1590/S1678-3921.pab2026.v61.03836</t>
  </si>
  <si>
    <t>Developmental factors and genetic groups evaluated by computational modelling for pregnancy prediction when mating at 14 months of age</t>
  </si>
  <si>
    <t>https://doi.org/10.37496/rbz5520250244</t>
  </si>
  <si>
    <t>Tatiana Tozzi Martins Souza Rodrigues</t>
  </si>
  <si>
    <t>Rock powder application combined with bacterial inoculation enhances the early growth of coffee plants</t>
  </si>
  <si>
    <t>https://doi.org/10.1590/1413-7054202549024124</t>
  </si>
  <si>
    <t>Soil remineralizer as a replacement for chemical fertilization in industrial tomato cultivation</t>
  </si>
  <si>
    <t>https://doi.org/10.55905/rdelosv18.n64-010</t>
  </si>
  <si>
    <t>ENDOPHYTIC MICROORGANISMS OF AROEIRA TREE AND THEIR POTENTIAL AS PRE-EMERGENT BIOHERBICIDE FOR WEEDS</t>
  </si>
  <si>
    <t>https://doi.org/10.5380/rf.v54i1.86047</t>
  </si>
  <si>
    <t>Potencial da suplementaÃ§Ã£o alimentar de caprinos com potÃ¡ssio, sÃ³dio e silÃ­cio via pÃ³ de rocha na prevenÃ§Ã£o e controle da mastite subclÃ­nica: uma anÃ¡lise bioinformÃ¡tica</t>
  </si>
  <si>
    <t>https://doi.org/10.53660/prw-1925-3604</t>
  </si>
  <si>
    <t>Morfometria de Bananeira Nanica em seu primeiro ciclo vegetativo: efeitos da adubaÃ§Ã£o com pÃ³ de rocha de diferentes origens</t>
  </si>
  <si>
    <t>https://doi.org/10.53660/prw-2118-3912</t>
  </si>
  <si>
    <t>Minha jornada nÃ£o convencional na ciÃªncia: superando desafios e inspirando novas geraÃ§Ãµes atravÃ©s da iniciaÃ§Ã£o cientÃ­fica</t>
  </si>
  <si>
    <t>Evaluation of losses and quality maintenance of wheat during storage in a commercial unit in Brazil</t>
  </si>
  <si>
    <t>https://doi.org/10.1002/jsfa.11493</t>
  </si>
  <si>
    <t>Pesticide residues in stored wheat and their action on Sitophilus oryzae and Rhyzopertha dominica</t>
  </si>
  <si>
    <t>https://doi.org/10.5327/fst.00133</t>
  </si>
  <si>
    <t>CONTROLE DE GORGULHO (Sitophilus spp.) EM GRÃOS ARMAZENADOS DE MILHO, TRIGO E AVEIA</t>
  </si>
  <si>
    <t>10.18677/EnciBio_2025C3</t>
  </si>
  <si>
    <t>CLIMATE CHANGE AND THE RECONFIGURATION OF PLANT DISEASE EPIDEMIOLOGY: EMERGING CHALLENGES FOR PLANT PATHOLOGY</t>
  </si>
  <si>
    <t>https://doi.org/10.23900/artefactum.v25i1.2545</t>
  </si>
  <si>
    <t>Brusone do trigo no cerrado: desafios fitopatológicos e estratégias de manejo</t>
  </si>
  <si>
    <t>https://doi.org/10.55905/revconv.19n.1-118</t>
  </si>
  <si>
    <t>Resistência fúngica a fungicidas: bases evolutivas, mecanismos moleculares e implicações para o manejo integrado sob a perspectiva One Health</t>
  </si>
  <si>
    <t>https://doi.org/10.55905/revconv.19n.1-123</t>
  </si>
  <si>
    <t>Soybean storage on an industrial scale: effects on physical-chemical, technological, and nutritional properties</t>
  </si>
  <si>
    <t>https://doi.org/10.1016/j.jspr.2026.103146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</si>
</sst>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"/>
  </numFmts>
  <fonts count="26">
    <font>
      <sz val="11.0"/>
      <color rgb="FF000000"/>
      <name val="Carlito"/>
      <scheme val="minor"/>
    </font>
    <font>
      <b/>
      <sz val="15.0"/>
      <color rgb="FFFFFFFF"/>
      <name val="Arial"/>
    </font>
    <font>
      <b/>
      <sz val="12.0"/>
      <color rgb="FFFFFFFF"/>
      <name val="Arial"/>
    </font>
    <font>
      <sz val="10.0"/>
      <color rgb="FF1F2937"/>
      <name val="Arial"/>
    </font>
    <font>
      <b/>
      <sz val="10.0"/>
      <color rgb="FFFFFFFF"/>
      <name val="Arial"/>
    </font>
    <font>
      <b/>
      <sz val="10.0"/>
      <color rgb="FF1B5E20"/>
      <name val="Arial"/>
    </font>
    <font>
      <b/>
      <sz val="11.0"/>
      <color rgb="FF1F2937"/>
      <name val="Arial"/>
    </font>
    <font/>
    <font>
      <b/>
      <sz val="8.0"/>
      <color rgb="FF1F2937"/>
      <name val="Arial"/>
    </font>
    <font>
      <b/>
      <sz val="10.0"/>
      <color rgb="FF1F2937"/>
      <name val="Arial"/>
    </font>
    <font>
      <i/>
      <sz val="10.0"/>
      <color rgb="FF1F2937"/>
      <name val="Arial"/>
    </font>
    <font>
      <b/>
      <sz val="8.0"/>
      <color rgb="FF1B5E20"/>
      <name val="Arial"/>
    </font>
    <font>
      <sz val="8.0"/>
      <color rgb="FF1F2937"/>
      <name val="Arial"/>
    </font>
    <font>
      <b/>
      <sz val="9.0"/>
      <color rgb="FF1F2937"/>
      <name val="Arial"/>
    </font>
    <font>
      <u/>
      <sz val="10.0"/>
      <color rgb="FF1565C0"/>
      <name val="Arial"/>
    </font>
    <font>
      <u/>
      <sz val="8.0"/>
      <color rgb="FF1F2937"/>
      <name val="Arial"/>
    </font>
    <font>
      <b/>
      <sz val="8.0"/>
      <color rgb="FFFFFFFF"/>
      <name val="Arial"/>
    </font>
    <font>
      <sz val="8.0"/>
      <color theme="1"/>
      <name val="Arial"/>
    </font>
    <font>
      <u/>
      <sz val="8.0"/>
      <color rgb="FF0000FF"/>
      <name val="Arial"/>
    </font>
    <font>
      <u/>
      <sz val="8.0"/>
      <color rgb="FF1F2937"/>
      <name val="Arial"/>
    </font>
    <font>
      <sz val="8.0"/>
      <color theme="1"/>
      <name val="Carlito"/>
      <scheme val="minor"/>
    </font>
    <font>
      <u/>
      <sz val="9.0"/>
      <color rgb="FF1F2937"/>
      <name val="Arial"/>
    </font>
    <font>
      <b/>
      <u/>
      <sz val="8.0"/>
      <color rgb="FF1F2937"/>
      <name val="Arial"/>
    </font>
    <font>
      <sz val="8.0"/>
      <color rgb="FF000000"/>
      <name val="Arial"/>
    </font>
    <font>
      <sz val="8.0"/>
      <color rgb="FF000000"/>
      <name val="Tahoma"/>
    </font>
    <font>
      <u/>
      <sz val="8.0"/>
      <color rgb="FF1F2937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B5E20"/>
        <bgColor rgb="FF1B5E20"/>
      </patternFill>
    </fill>
    <fill>
      <patternFill patternType="solid">
        <fgColor rgb="FF2E7D32"/>
        <bgColor rgb="FF2E7D32"/>
      </patternFill>
    </fill>
    <fill>
      <patternFill patternType="solid">
        <fgColor rgb="FF00695C"/>
        <bgColor rgb="FF00695C"/>
      </patternFill>
    </fill>
    <fill>
      <patternFill patternType="solid">
        <fgColor rgb="FFE8F5E9"/>
        <bgColor rgb="FFE8F5E9"/>
      </patternFill>
    </fill>
    <fill>
      <patternFill patternType="solid">
        <fgColor rgb="FFFFF8E1"/>
        <bgColor rgb="FFFFF8E1"/>
      </patternFill>
    </fill>
    <fill>
      <patternFill patternType="solid">
        <fgColor rgb="FFFFFFFF"/>
        <bgColor rgb="FFFFFFFF"/>
      </patternFill>
    </fill>
    <fill>
      <patternFill patternType="solid">
        <fgColor rgb="FFE3F2FD"/>
        <bgColor rgb="FFE3F2FD"/>
      </patternFill>
    </fill>
    <fill>
      <patternFill patternType="solid">
        <fgColor rgb="FFE0F2F1"/>
        <bgColor rgb="FFE0F2F1"/>
      </patternFill>
    </fill>
    <fill>
      <patternFill patternType="solid">
        <fgColor rgb="FFFFEBEE"/>
        <bgColor rgb="FFFFEBEE"/>
      </patternFill>
    </fill>
  </fills>
  <borders count="8">
    <border/>
    <border>
      <left style="thin">
        <color rgb="FFD7E1DA"/>
      </left>
      <right style="thin">
        <color rgb="FFD7E1DA"/>
      </right>
      <top style="thin">
        <color rgb="FFD7E1DA"/>
      </top>
      <bottom style="thin">
        <color rgb="FFD7E1DA"/>
      </bottom>
    </border>
    <border>
      <left style="thin">
        <color rgb="FFF9A825"/>
      </left>
      <right style="thin">
        <color rgb="FFF9A825"/>
      </right>
      <top style="thin">
        <color rgb="FFF9A825"/>
      </top>
      <bottom style="thin">
        <color rgb="FFF9A825"/>
      </bottom>
    </border>
    <border>
      <left style="thin">
        <color rgb="FFD7E1DA"/>
      </left>
      <top style="thin">
        <color rgb="FFD7E1DA"/>
      </top>
      <bottom style="thin">
        <color rgb="FFD7E1DA"/>
      </bottom>
    </border>
    <border>
      <top style="thin">
        <color rgb="FFD7E1DA"/>
      </top>
      <bottom style="thin">
        <color rgb="FFD7E1DA"/>
      </bottom>
    </border>
    <border>
      <right style="thin">
        <color rgb="FFD7E1DA"/>
      </right>
      <top style="thin">
        <color rgb="FFD7E1DA"/>
      </top>
      <bottom style="thin">
        <color rgb="FFD7E1DA"/>
      </bottom>
    </border>
    <border>
      <left style="thin">
        <color rgb="FFD7E1DA"/>
      </left>
      <right style="thin">
        <color rgb="FFD7E1DA"/>
      </right>
      <top style="thin">
        <color rgb="FFD7E1DA"/>
      </top>
    </border>
    <border>
      <left style="thin">
        <color rgb="FFC9DAF8"/>
      </left>
      <right style="thin">
        <color rgb="FFC9DAF8"/>
      </right>
      <top style="thin">
        <color rgb="FFC9DAF8"/>
      </top>
      <bottom style="thin">
        <color rgb="FFC9DAF8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3" fontId="2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4" fontId="4" numFmtId="0" xfId="0" applyAlignment="1" applyFill="1" applyFont="1">
      <alignment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1" fillId="5" fontId="5" numFmtId="0" xfId="0" applyAlignment="1" applyBorder="1" applyFill="1" applyFont="1">
      <alignment shrinkToFit="0" vertical="center" wrapText="1"/>
    </xf>
    <xf borderId="2" fillId="6" fontId="6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shrinkToFit="0" vertical="top" wrapText="1"/>
    </xf>
    <xf borderId="0" fillId="6" fontId="3" numFmtId="0" xfId="0" applyAlignment="1" applyFill="1" applyFont="1">
      <alignment shrinkToFit="0" vertical="center" wrapText="1"/>
    </xf>
    <xf borderId="1" fillId="0" fontId="3" numFmtId="164" xfId="0" applyAlignment="1" applyBorder="1" applyFont="1" applyNumberFormat="1">
      <alignment shrinkToFit="0" vertical="top" wrapText="1"/>
    </xf>
    <xf borderId="3" fillId="7" fontId="3" numFmtId="0" xfId="0" applyAlignment="1" applyBorder="1" applyFill="1" applyFont="1">
      <alignment shrinkToFit="0" vertical="center" wrapText="1"/>
    </xf>
    <xf borderId="4" fillId="0" fontId="7" numFmtId="0" xfId="0" applyBorder="1" applyFont="1"/>
    <xf borderId="1" fillId="4" fontId="4" numFmtId="0" xfId="0" applyAlignment="1" applyBorder="1" applyFill="1" applyFont="1">
      <alignment horizontal="center" readingOrder="0" shrinkToFit="0" vertical="center" wrapText="1"/>
    </xf>
    <xf borderId="5" fillId="0" fontId="7" numFmtId="0" xfId="0" applyBorder="1" applyFont="1"/>
    <xf borderId="1" fillId="7" fontId="8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7" fontId="9" numFmtId="0" xfId="0" applyAlignment="1" applyBorder="1" applyFill="1" applyFont="1">
      <alignment horizontal="center" shrinkToFit="0" vertical="center" wrapText="1"/>
    </xf>
    <xf borderId="0" fillId="8" fontId="10" numFmtId="0" xfId="0" applyAlignment="1" applyFill="1" applyFont="1">
      <alignment shrinkToFit="0" vertical="center" wrapText="1"/>
    </xf>
    <xf borderId="1" fillId="5" fontId="11" numFmtId="0" xfId="0" applyAlignment="1" applyBorder="1" applyFill="1" applyFont="1">
      <alignment shrinkToFit="0" vertical="center" wrapText="1"/>
    </xf>
    <xf borderId="3" fillId="4" fontId="4" numFmtId="0" xfId="0" applyAlignment="1" applyBorder="1" applyFill="1" applyFont="1">
      <alignment horizontal="center" shrinkToFit="0" vertical="center" wrapText="1"/>
    </xf>
    <xf borderId="3" fillId="7" fontId="3" numFmtId="0" xfId="0" applyAlignment="1" applyBorder="1" applyFill="1" applyFont="1">
      <alignment readingOrder="0" shrinkToFit="0" vertical="center" wrapText="1"/>
    </xf>
    <xf borderId="1" fillId="9" fontId="3" numFmtId="0" xfId="0" applyAlignment="1" applyBorder="1" applyFill="1" applyFont="1">
      <alignment shrinkToFit="0" vertical="top" wrapText="1"/>
    </xf>
    <xf borderId="1" fillId="0" fontId="5" numFmtId="0" xfId="0" applyAlignment="1" applyBorder="1" applyFont="1">
      <alignment shrinkToFit="0" vertical="top" wrapText="1"/>
    </xf>
    <xf borderId="1" fillId="6" fontId="12" numFmtId="0" xfId="0" applyAlignment="1" applyBorder="1" applyFill="1" applyFont="1">
      <alignment readingOrder="0" shrinkToFit="0" vertical="top" wrapText="1"/>
    </xf>
    <xf borderId="1" fillId="7" fontId="13" numFmtId="0" xfId="0" applyAlignment="1" applyBorder="1" applyFill="1" applyFont="1">
      <alignment horizontal="center" shrinkToFit="0" vertical="center" wrapText="1"/>
    </xf>
    <xf borderId="1" fillId="10" fontId="5" numFmtId="0" xfId="0" applyAlignment="1" applyBorder="1" applyFill="1" applyFont="1">
      <alignment shrinkToFit="0" vertical="center" wrapText="1"/>
    </xf>
    <xf borderId="3" fillId="10" fontId="3" numFmtId="0" xfId="0" applyAlignment="1" applyBorder="1" applyFill="1" applyFont="1">
      <alignment readingOrder="0" shrinkToFit="0" vertical="center" wrapText="1"/>
    </xf>
    <xf borderId="1" fillId="8" fontId="12" numFmtId="0" xfId="0" applyAlignment="1" applyBorder="1" applyFill="1" applyFont="1">
      <alignment shrinkToFit="0" vertical="top" wrapText="1"/>
    </xf>
    <xf borderId="1" fillId="7" fontId="8" numFmtId="164" xfId="0" applyAlignment="1" applyBorder="1" applyFill="1" applyFont="1" applyNumberFormat="1">
      <alignment horizontal="center" shrinkToFit="0" vertical="center" wrapText="1"/>
    </xf>
    <xf borderId="1" fillId="7" fontId="9" numFmtId="164" xfId="0" applyAlignment="1" applyBorder="1" applyFill="1" applyFont="1" applyNumberFormat="1">
      <alignment horizontal="center" shrinkToFit="0" vertical="center" wrapText="1"/>
    </xf>
    <xf borderId="1" fillId="6" fontId="12" numFmtId="1" xfId="0" applyAlignment="1" applyBorder="1" applyFill="1" applyFont="1" applyNumberFormat="1">
      <alignment horizontal="center" readingOrder="0" shrinkToFit="0" vertical="top" wrapText="1"/>
    </xf>
    <xf borderId="3" fillId="0" fontId="3" numFmtId="0" xfId="0" applyAlignment="1" applyBorder="1" applyFont="1">
      <alignment shrinkToFit="0" vertical="center" wrapText="1"/>
    </xf>
    <xf borderId="3" fillId="0" fontId="14" numFmtId="0" xfId="0" applyAlignment="1" applyBorder="1" applyFont="1">
      <alignment shrinkToFit="0" vertical="center" wrapText="1"/>
    </xf>
    <xf borderId="1" fillId="7" fontId="13" numFmtId="9" xfId="0" applyAlignment="1" applyBorder="1" applyFill="1" applyFont="1" applyNumberFormat="1">
      <alignment horizontal="center" shrinkToFit="0" vertical="center" wrapText="1"/>
    </xf>
    <xf borderId="1" fillId="6" fontId="15" numFmtId="0" xfId="0" applyAlignment="1" applyBorder="1" applyFill="1" applyFont="1">
      <alignment readingOrder="0" shrinkToFit="0" vertical="top" wrapText="1"/>
    </xf>
    <xf borderId="1" fillId="7" fontId="9" numFmtId="165" xfId="0" applyAlignment="1" applyBorder="1" applyFill="1" applyFont="1" applyNumberFormat="1">
      <alignment horizontal="center" shrinkToFit="0" vertical="center" wrapText="1"/>
    </xf>
    <xf borderId="0" fillId="6" fontId="10" numFmtId="0" xfId="0" applyAlignment="1" applyFill="1" applyFont="1">
      <alignment horizontal="center" shrinkToFit="0" vertical="center" wrapText="1"/>
    </xf>
    <xf borderId="1" fillId="6" fontId="3" numFmtId="0" xfId="0" applyAlignment="1" applyBorder="1" applyFill="1" applyFont="1">
      <alignment shrinkToFit="0" vertical="top" wrapText="1"/>
    </xf>
    <xf borderId="6" fillId="4" fontId="4" numFmtId="0" xfId="0" applyAlignment="1" applyBorder="1" applyFill="1" applyFont="1">
      <alignment horizontal="center" shrinkToFit="0" vertical="center" wrapText="1"/>
    </xf>
    <xf borderId="1" fillId="4" fontId="16" numFmtId="0" xfId="0" applyAlignment="1" applyBorder="1" applyFill="1" applyFont="1">
      <alignment horizontal="center" shrinkToFit="0" vertical="center" wrapText="1"/>
    </xf>
    <xf borderId="1" fillId="6" fontId="3" numFmtId="164" xfId="0" applyAlignment="1" applyBorder="1" applyFill="1" applyFont="1" applyNumberFormat="1">
      <alignment shrinkToFit="0" vertical="top" wrapText="1"/>
    </xf>
    <xf borderId="7" fillId="6" fontId="17" numFmtId="0" xfId="0" applyAlignment="1" applyBorder="1" applyFill="1" applyFont="1">
      <alignment vertical="bottom"/>
    </xf>
    <xf borderId="5" fillId="6" fontId="12" numFmtId="0" xfId="0" applyAlignment="1" applyBorder="1" applyFill="1" applyFont="1">
      <alignment readingOrder="0" shrinkToFit="0" vertical="top" wrapText="1"/>
    </xf>
    <xf borderId="1" fillId="6" fontId="3" numFmtId="0" xfId="0" applyAlignment="1" applyBorder="1" applyFill="1" applyFont="1">
      <alignment readingOrder="0" shrinkToFit="0" vertical="top" wrapText="1"/>
    </xf>
    <xf borderId="1" fillId="6" fontId="3" numFmtId="0" xfId="0" applyAlignment="1" applyBorder="1" applyFill="1" applyFont="1">
      <alignment readingOrder="0" shrinkToFit="0" vertical="top" wrapText="1"/>
    </xf>
    <xf borderId="1" fillId="8" fontId="3" numFmtId="0" xfId="0" applyAlignment="1" applyBorder="1" applyFill="1" applyFont="1">
      <alignment horizontal="center" shrinkToFit="0" vertical="top" wrapText="1"/>
    </xf>
    <xf borderId="1" fillId="8" fontId="3" numFmtId="164" xfId="0" applyAlignment="1" applyBorder="1" applyFill="1" applyFont="1" applyNumberFormat="1">
      <alignment horizontal="center" shrinkToFit="0" vertical="top" wrapText="1"/>
    </xf>
    <xf borderId="1" fillId="8" fontId="12" numFmtId="0" xfId="0" applyAlignment="1" applyBorder="1" applyFill="1" applyFont="1">
      <alignment horizontal="center" shrinkToFit="0" vertical="top" wrapText="1"/>
    </xf>
    <xf borderId="1" fillId="4" fontId="4" numFmtId="0" xfId="0" applyAlignment="1" applyBorder="1" applyFill="1" applyFont="1">
      <alignment horizontal="center" readingOrder="0" shrinkToFit="0" vertical="center" wrapText="1"/>
    </xf>
    <xf borderId="0" fillId="6" fontId="12" numFmtId="0" xfId="0" applyAlignment="1" applyFill="1" applyFont="1">
      <alignment readingOrder="0" shrinkToFit="0" vertical="top" wrapText="1"/>
    </xf>
    <xf borderId="1" fillId="6" fontId="3" numFmtId="1" xfId="0" applyAlignment="1" applyBorder="1" applyFill="1" applyFont="1" applyNumberFormat="1">
      <alignment readingOrder="0" shrinkToFit="0" vertical="top" wrapText="1"/>
    </xf>
    <xf borderId="1" fillId="6" fontId="12" numFmtId="0" xfId="0" applyAlignment="1" applyBorder="1" applyFill="1" applyFont="1">
      <alignment shrinkToFit="0" vertical="top" wrapText="1"/>
    </xf>
    <xf borderId="5" fillId="6" fontId="12" numFmtId="0" xfId="0" applyAlignment="1" applyBorder="1" applyFill="1" applyFont="1">
      <alignment shrinkToFit="0" vertical="top" wrapText="1"/>
    </xf>
    <xf borderId="1" fillId="6" fontId="12" numFmtId="0" xfId="0" applyAlignment="1" applyBorder="1" applyFill="1" applyFont="1">
      <alignment horizontal="left" readingOrder="0" shrinkToFit="0" vertical="top" wrapText="1"/>
    </xf>
    <xf borderId="1" fillId="6" fontId="18" numFmtId="0" xfId="0" applyAlignment="1" applyBorder="1" applyFill="1" applyFont="1">
      <alignment readingOrder="0" shrinkToFit="0" vertical="top" wrapText="1"/>
    </xf>
    <xf borderId="1" fillId="8" fontId="3" numFmtId="0" xfId="0" applyAlignment="1" applyBorder="1" applyFill="1" applyFont="1">
      <alignment horizontal="center" readingOrder="0" shrinkToFit="0" vertical="top" wrapText="1"/>
    </xf>
    <xf borderId="1" fillId="6" fontId="3" numFmtId="1" xfId="0" applyAlignment="1" applyBorder="1" applyFill="1" applyFont="1" applyNumberFormat="1">
      <alignment shrinkToFit="0" vertical="top" wrapText="1"/>
    </xf>
    <xf borderId="1" fillId="6" fontId="19" numFmtId="0" xfId="0" applyAlignment="1" applyBorder="1" applyFill="1" applyFont="1">
      <alignment readingOrder="0" shrinkToFit="0" vertical="top" wrapText="1"/>
    </xf>
    <xf borderId="1" fillId="6" fontId="3" numFmtId="164" xfId="0" applyAlignment="1" applyBorder="1" applyFill="1" applyFont="1" applyNumberFormat="1">
      <alignment readingOrder="0" shrinkToFit="0" vertical="top" wrapText="1"/>
    </xf>
    <xf borderId="0" fillId="0" fontId="20" numFmtId="0" xfId="0" applyFont="1"/>
    <xf borderId="1" fillId="6" fontId="21" numFmtId="0" xfId="0" applyAlignment="1" applyBorder="1" applyFill="1" applyFont="1">
      <alignment readingOrder="0" shrinkToFit="0" vertical="top" wrapText="1"/>
    </xf>
    <xf borderId="1" fillId="6" fontId="22" numFmtId="0" xfId="0" applyAlignment="1" applyBorder="1" applyFill="1" applyFont="1">
      <alignment readingOrder="0" shrinkToFit="0" vertical="top" wrapText="1"/>
    </xf>
    <xf borderId="1" fillId="6" fontId="23" numFmtId="0" xfId="0" applyAlignment="1" applyBorder="1" applyFill="1" applyFont="1">
      <alignment readingOrder="0" shrinkToFit="0" vertical="top" wrapText="1"/>
    </xf>
    <xf borderId="1" fillId="6" fontId="24" numFmtId="0" xfId="0" applyAlignment="1" applyBorder="1" applyFill="1" applyFont="1">
      <alignment horizontal="left" readingOrder="0"/>
    </xf>
    <xf borderId="1" fillId="6" fontId="12" numFmtId="0" xfId="0" applyAlignment="1" applyBorder="1" applyFill="1" applyFont="1">
      <alignment readingOrder="0" vertical="top"/>
    </xf>
    <xf borderId="1" fillId="6" fontId="25" numFmtId="0" xfId="0" applyAlignment="1" applyBorder="1" applyFill="1" applyFont="1">
      <alignment readingOrder="0" vertical="top"/>
    </xf>
    <xf borderId="0" fillId="0" fontId="20" numFmtId="0" xfId="0" applyAlignment="1" applyFont="1">
      <alignment horizontal="center"/>
    </xf>
  </cellXfs>
  <cellStyles count="1">
    <cellStyle xfId="0" name="Normal" builtinId="0"/>
  </cellStyles>
  <dxfs count="3">
    <dxf>
      <font>
        <b/>
        <color rgb="FF1B5E20"/>
      </font>
      <fill>
        <patternFill patternType="solid">
          <fgColor rgb="FFE8F5E9"/>
          <bgColor rgb="FFE8F5E9"/>
        </patternFill>
      </fill>
      <border/>
    </dxf>
    <dxf>
      <font>
        <b/>
        <color rgb="FFC62828"/>
      </font>
      <fill>
        <patternFill patternType="solid">
          <fgColor rgb="FFFFEBEE"/>
          <bgColor rgb="FFFFEBEE"/>
        </patternFill>
      </fill>
      <border/>
    </dxf>
    <dxf>
      <font>
        <b/>
        <color rgb="FF8A5A00"/>
      </font>
      <fill>
        <patternFill patternType="solid">
          <fgColor rgb="FFFFF8E1"/>
          <bgColor rgb="FFFFF8E1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Coordenação Geral de Pós-Graduação IFFAR" id="{9958f555-c0b0-4f1f-8ed5-e502c6b31d2b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2" dT="2026-10-16T13:13:57.00" personId="{9958f555-c0b0-4f1f-8ed5-e502c6b31d2b}" id="{8d6a8957-5e26-444d-ba3f-ebdf18590b09}" done="0">
    <x18tc:text xml:space="preserve">aqui precisamos descrever melhor como esse produto gerou impactos. Sempre tentando justificar com relação a aderência desse impacto com a proposta do curso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doi.org/10.5747/ca.2023.v19.h534" TargetMode="External"/><Relationship Id="rId42" Type="http://schemas.openxmlformats.org/officeDocument/2006/relationships/hyperlink" Target="https://doi.org/10.1007/s12161-023-02497-2" TargetMode="External"/><Relationship Id="rId41" Type="http://schemas.openxmlformats.org/officeDocument/2006/relationships/hyperlink" Target="https://doi.org/10.1016/j.jcs.2023.103645" TargetMode="External"/><Relationship Id="rId44" Type="http://schemas.openxmlformats.org/officeDocument/2006/relationships/hyperlink" Target="https://doi.org/10.1111/jfpe.14076" TargetMode="External"/><Relationship Id="rId43" Type="http://schemas.openxmlformats.org/officeDocument/2006/relationships/hyperlink" Target="https://doi.org/10.1016/j.measurement.2021.110609" TargetMode="External"/><Relationship Id="rId46" Type="http://schemas.openxmlformats.org/officeDocument/2006/relationships/hyperlink" Target="https://doi.org/10.1109/jsen.2022.3226168" TargetMode="External"/><Relationship Id="rId45" Type="http://schemas.openxmlformats.org/officeDocument/2006/relationships/hyperlink" Target="https://doi.org/10.1016/j.eswa.2022.118242" TargetMode="External"/><Relationship Id="rId107" Type="http://schemas.openxmlformats.org/officeDocument/2006/relationships/hyperlink" Target="https://doi.org/10.13083/reveng.v30i1.13759" TargetMode="External"/><Relationship Id="rId106" Type="http://schemas.openxmlformats.org/officeDocument/2006/relationships/hyperlink" Target="https://doi.org/10.15446/rfnam.v75n2.96242" TargetMode="External"/><Relationship Id="rId105" Type="http://schemas.openxmlformats.org/officeDocument/2006/relationships/hyperlink" Target="https://doi.org/10.3390/agriengineering4010021" TargetMode="External"/><Relationship Id="rId104" Type="http://schemas.openxmlformats.org/officeDocument/2006/relationships/hyperlink" Target="https://doi.org/10.3390/su14031446" TargetMode="External"/><Relationship Id="rId109" Type="http://schemas.openxmlformats.org/officeDocument/2006/relationships/hyperlink" Target="https://doi.org/10.1021/acsomega.5c08705" TargetMode="External"/><Relationship Id="rId108" Type="http://schemas.openxmlformats.org/officeDocument/2006/relationships/hyperlink" Target="https://doi.org/10.23900/artefactum.v25i1.2547" TargetMode="External"/><Relationship Id="rId48" Type="http://schemas.openxmlformats.org/officeDocument/2006/relationships/hyperlink" Target="https://doi.org/10.1007/s11356-024-32385-z" TargetMode="External"/><Relationship Id="rId47" Type="http://schemas.openxmlformats.org/officeDocument/2006/relationships/hyperlink" Target="https://doi.org/10.3390/pr13041060" TargetMode="External"/><Relationship Id="rId49" Type="http://schemas.openxmlformats.org/officeDocument/2006/relationships/hyperlink" Target="https://doi.org/10.1007/s11356-024-34465-6" TargetMode="External"/><Relationship Id="rId103" Type="http://schemas.openxmlformats.org/officeDocument/2006/relationships/hyperlink" Target="https://doi.org/10.15159/ar.23.084" TargetMode="External"/><Relationship Id="rId102" Type="http://schemas.openxmlformats.org/officeDocument/2006/relationships/hyperlink" Target="https://doi.org/10.1061/jidedh.ireng-10195" TargetMode="External"/><Relationship Id="rId101" Type="http://schemas.openxmlformats.org/officeDocument/2006/relationships/hyperlink" Target="https://doi.org/10.3390/agronomy14102414" TargetMode="External"/><Relationship Id="rId100" Type="http://schemas.openxmlformats.org/officeDocument/2006/relationships/hyperlink" Target="https://doi.org/10.15159/ar.24.057" TargetMode="External"/><Relationship Id="rId31" Type="http://schemas.openxmlformats.org/officeDocument/2006/relationships/hyperlink" Target="https://doi.org/10.1590/s1984-29612022058" TargetMode="External"/><Relationship Id="rId30" Type="http://schemas.openxmlformats.org/officeDocument/2006/relationships/hyperlink" Target="https://doi.org/10.1590/s1984-29612022058" TargetMode="External"/><Relationship Id="rId33" Type="http://schemas.openxmlformats.org/officeDocument/2006/relationships/hyperlink" Target="https://doi.org/10.55905/rdelosv18.n69-022" TargetMode="External"/><Relationship Id="rId32" Type="http://schemas.openxmlformats.org/officeDocument/2006/relationships/hyperlink" Target="https://doi.org/10.5902/2179460x89957" TargetMode="External"/><Relationship Id="rId35" Type="http://schemas.openxmlformats.org/officeDocument/2006/relationships/hyperlink" Target="https://doi.org/10.5747/ca.2023.v19.h534" TargetMode="External"/><Relationship Id="rId34" Type="http://schemas.openxmlformats.org/officeDocument/2006/relationships/hyperlink" Target="https://doi.org/10.1590/1519-6984.299282" TargetMode="External"/><Relationship Id="rId37" Type="http://schemas.openxmlformats.org/officeDocument/2006/relationships/hyperlink" Target="https://doi.org/10.5902/2179460x89957" TargetMode="External"/><Relationship Id="rId36" Type="http://schemas.openxmlformats.org/officeDocument/2006/relationships/hyperlink" Target="https://doi.org/10.1111/jph.70265" TargetMode="External"/><Relationship Id="rId39" Type="http://schemas.openxmlformats.org/officeDocument/2006/relationships/hyperlink" Target="https://doi.org/10.1590/1519-6984.299282" TargetMode="External"/><Relationship Id="rId38" Type="http://schemas.openxmlformats.org/officeDocument/2006/relationships/hyperlink" Target="https://doi.org/10.55905/rdelosv18.n69-022" TargetMode="External"/><Relationship Id="rId20" Type="http://schemas.openxmlformats.org/officeDocument/2006/relationships/hyperlink" Target="https://doi.org/10.34024/revbea.2022.v17.13415" TargetMode="External"/><Relationship Id="rId22" Type="http://schemas.openxmlformats.org/officeDocument/2006/relationships/hyperlink" Target="https://doi.org/10.7589/jwd-d-25-00104" TargetMode="External"/><Relationship Id="rId21" Type="http://schemas.openxmlformats.org/officeDocument/2006/relationships/hyperlink" Target="https://doi.org/10.1017/s0030605325102743" TargetMode="External"/><Relationship Id="rId24" Type="http://schemas.openxmlformats.org/officeDocument/2006/relationships/hyperlink" Target="https://doi.org/10.5597/lajam00356" TargetMode="External"/><Relationship Id="rId23" Type="http://schemas.openxmlformats.org/officeDocument/2006/relationships/hyperlink" Target="https://doi.org/10.1017/s003060532500002x" TargetMode="External"/><Relationship Id="rId129" Type="http://schemas.openxmlformats.org/officeDocument/2006/relationships/hyperlink" Target="https://doi.org/10.1590/1809-6891v25e-78628E" TargetMode="External"/><Relationship Id="rId128" Type="http://schemas.openxmlformats.org/officeDocument/2006/relationships/hyperlink" Target="https://doi.org/10.1071/CP24001" TargetMode="External"/><Relationship Id="rId127" Type="http://schemas.openxmlformats.org/officeDocument/2006/relationships/hyperlink" Target="https://doi.org/10.1007/s11259-024-10329-9" TargetMode="External"/><Relationship Id="rId126" Type="http://schemas.openxmlformats.org/officeDocument/2006/relationships/hyperlink" Target="https://doi.org/10.17523/bia.2023.v80.e1514" TargetMode="External"/><Relationship Id="rId26" Type="http://schemas.openxmlformats.org/officeDocument/2006/relationships/hyperlink" Target="https://doi.org/10.1590/s1984-29612024003" TargetMode="External"/><Relationship Id="rId121" Type="http://schemas.openxmlformats.org/officeDocument/2006/relationships/hyperlink" Target="https://doi.org/10.5433/1679-0359.2022v43n1p197" TargetMode="External"/><Relationship Id="rId25" Type="http://schemas.openxmlformats.org/officeDocument/2006/relationships/hyperlink" Target="https://doi.org/10.1017/s0376892925100155" TargetMode="External"/><Relationship Id="rId120" Type="http://schemas.openxmlformats.org/officeDocument/2006/relationships/hyperlink" Target="https://doi.org/10.5433/1679-0359.2021v42n4p2453" TargetMode="External"/><Relationship Id="rId28" Type="http://schemas.openxmlformats.org/officeDocument/2006/relationships/hyperlink" Target="https://doi.org/10.1017/s0030605324000231" TargetMode="External"/><Relationship Id="rId27" Type="http://schemas.openxmlformats.org/officeDocument/2006/relationships/hyperlink" Target="https://doi.org/10.1002/ecy.4298" TargetMode="External"/><Relationship Id="rId125" Type="http://schemas.openxmlformats.org/officeDocument/2006/relationships/hyperlink" Target="https://doi.org/10.1590/S1678-3921.pab2023.v58.03110" TargetMode="External"/><Relationship Id="rId29" Type="http://schemas.openxmlformats.org/officeDocument/2006/relationships/hyperlink" Target="https://doi.org/10.1590/s1984-29612023053" TargetMode="External"/><Relationship Id="rId124" Type="http://schemas.openxmlformats.org/officeDocument/2006/relationships/hyperlink" Target="http://doi.org/10.1590/1678-992X-2022-0088" TargetMode="External"/><Relationship Id="rId123" Type="http://schemas.openxmlformats.org/officeDocument/2006/relationships/hyperlink" Target="https://doi.org/10.1590/1984-3143-AR2023-0054" TargetMode="External"/><Relationship Id="rId122" Type="http://schemas.openxmlformats.org/officeDocument/2006/relationships/hyperlink" Target="https://doi.org/10.1016/j.livsci.2022.104854" TargetMode="External"/><Relationship Id="rId95" Type="http://schemas.openxmlformats.org/officeDocument/2006/relationships/hyperlink" Target="https://doi.org/10.1007/s11356-022-21515-0" TargetMode="External"/><Relationship Id="rId94" Type="http://schemas.openxmlformats.org/officeDocument/2006/relationships/hyperlink" Target="https://doi.org/10.3390/agronomy12051132" TargetMode="External"/><Relationship Id="rId97" Type="http://schemas.openxmlformats.org/officeDocument/2006/relationships/hyperlink" Target="https://doi.org/10.35819/scientiatec.v9i2.5192" TargetMode="External"/><Relationship Id="rId96" Type="http://schemas.openxmlformats.org/officeDocument/2006/relationships/hyperlink" Target="https://doi.org/10.1007/s11356-022-22570-3" TargetMode="External"/><Relationship Id="rId11" Type="http://schemas.openxmlformats.org/officeDocument/2006/relationships/hyperlink" Target="https://doi.org/10.1007/s10980-023-01601-5" TargetMode="External"/><Relationship Id="rId99" Type="http://schemas.openxmlformats.org/officeDocument/2006/relationships/hyperlink" Target="https://doi.org/10.3390/rs16040728" TargetMode="External"/><Relationship Id="rId10" Type="http://schemas.openxmlformats.org/officeDocument/2006/relationships/hyperlink" Target="https://doi.org/10.1111/ele.14529" TargetMode="External"/><Relationship Id="rId98" Type="http://schemas.openxmlformats.org/officeDocument/2006/relationships/hyperlink" Target="https://doi.org/10.3390/agriengineering8010022" TargetMode="External"/><Relationship Id="rId13" Type="http://schemas.openxmlformats.org/officeDocument/2006/relationships/hyperlink" Target="https://doi.org/10.1038/s41598-022-05450-1" TargetMode="External"/><Relationship Id="rId12" Type="http://schemas.openxmlformats.org/officeDocument/2006/relationships/hyperlink" Target="https://doi.org/10.1016/j.cub.2023.06.077" TargetMode="External"/><Relationship Id="rId91" Type="http://schemas.openxmlformats.org/officeDocument/2006/relationships/hyperlink" Target="https://doi.org/10.3390/agronomy12020243" TargetMode="External"/><Relationship Id="rId90" Type="http://schemas.openxmlformats.org/officeDocument/2006/relationships/hyperlink" Target="https://doi.org/10.1002/jeq2.20503" TargetMode="External"/><Relationship Id="rId93" Type="http://schemas.openxmlformats.org/officeDocument/2006/relationships/hyperlink" Target="https://doi.org/10.3390/agronomy12050994" TargetMode="External"/><Relationship Id="rId92" Type="http://schemas.openxmlformats.org/officeDocument/2006/relationships/hyperlink" Target="https://doi.org/10.1016/j.envexpbot.2022.104791" TargetMode="External"/><Relationship Id="rId118" Type="http://schemas.openxmlformats.org/officeDocument/2006/relationships/hyperlink" Target="https://doi.org/10.1016/j.livsci.2021.104549" TargetMode="External"/><Relationship Id="rId117" Type="http://schemas.openxmlformats.org/officeDocument/2006/relationships/hyperlink" Target="https://doi.org/10.3390/antibiotics11111645" TargetMode="External"/><Relationship Id="rId116" Type="http://schemas.openxmlformats.org/officeDocument/2006/relationships/hyperlink" Target="https://doi.org/10.3390/microorganisms10081504" TargetMode="External"/><Relationship Id="rId115" Type="http://schemas.openxmlformats.org/officeDocument/2006/relationships/hyperlink" Target="https://doi.org/10.3390/antibiotics11030388" TargetMode="External"/><Relationship Id="rId119" Type="http://schemas.openxmlformats.org/officeDocument/2006/relationships/hyperlink" Target="https://doi.org/10.4314/sajas.v51i1.13" TargetMode="External"/><Relationship Id="rId15" Type="http://schemas.openxmlformats.org/officeDocument/2006/relationships/hyperlink" Target="https://doi.org/10.1371/journal.pone.0273774" TargetMode="External"/><Relationship Id="rId110" Type="http://schemas.openxmlformats.org/officeDocument/2006/relationships/hyperlink" Target="https://doi.org/10.1016/j.fbio.2025.107249" TargetMode="External"/><Relationship Id="rId14" Type="http://schemas.openxmlformats.org/officeDocument/2006/relationships/hyperlink" Target="https://doi.org/10.1126/sciadv.abm0397" TargetMode="External"/><Relationship Id="rId17" Type="http://schemas.openxmlformats.org/officeDocument/2006/relationships/hyperlink" Target="https://doi.org/10.1111/jbi.14301" TargetMode="External"/><Relationship Id="rId16" Type="http://schemas.openxmlformats.org/officeDocument/2006/relationships/hyperlink" Target="https://doi.org/10.1111/2041-210x.13924" TargetMode="External"/><Relationship Id="rId19" Type="http://schemas.openxmlformats.org/officeDocument/2006/relationships/hyperlink" Target="https://doi.org/10.1126/science.adh8830" TargetMode="External"/><Relationship Id="rId114" Type="http://schemas.openxmlformats.org/officeDocument/2006/relationships/hyperlink" Target="https://doi.org/10.3390/antibiotics12071127" TargetMode="External"/><Relationship Id="rId18" Type="http://schemas.openxmlformats.org/officeDocument/2006/relationships/hyperlink" Target="https://doi.org/10.1038/s41597-024-04207-x" TargetMode="External"/><Relationship Id="rId113" Type="http://schemas.openxmlformats.org/officeDocument/2006/relationships/hyperlink" Target="https://doi.org/10.3390/molecules28093887" TargetMode="External"/><Relationship Id="rId112" Type="http://schemas.openxmlformats.org/officeDocument/2006/relationships/hyperlink" Target="https://doi.org/10.3389/fcimb.2023.1122450" TargetMode="External"/><Relationship Id="rId111" Type="http://schemas.openxmlformats.org/officeDocument/2006/relationships/hyperlink" Target="https://doi.org/10.3389/fmicb.2025.1676649" TargetMode="External"/><Relationship Id="rId84" Type="http://schemas.openxmlformats.org/officeDocument/2006/relationships/hyperlink" Target="https://doi.org/10.1590/1678-992X-2020-0266" TargetMode="External"/><Relationship Id="rId83" Type="http://schemas.openxmlformats.org/officeDocument/2006/relationships/hyperlink" Target="https://doi.org/10.1038/s41598-021-98549-w" TargetMode="External"/><Relationship Id="rId86" Type="http://schemas.openxmlformats.org/officeDocument/2006/relationships/hyperlink" Target="https://doi.org/10.3390/agronomy14010101" TargetMode="External"/><Relationship Id="rId85" Type="http://schemas.openxmlformats.org/officeDocument/2006/relationships/hyperlink" Target="https://doi.org/10.36783/18069657rbcs20240127" TargetMode="External"/><Relationship Id="rId88" Type="http://schemas.openxmlformats.org/officeDocument/2006/relationships/hyperlink" Target="https://doi.org/10.26669/2448-4091.2024.425" TargetMode="External"/><Relationship Id="rId87" Type="http://schemas.openxmlformats.org/officeDocument/2006/relationships/hyperlink" Target="https://doi.org/10.3390/horticulturae10111183" TargetMode="External"/><Relationship Id="rId89" Type="http://schemas.openxmlformats.org/officeDocument/2006/relationships/hyperlink" Target="https://doi.org/10.1016/j.eja.2023.126752" TargetMode="External"/><Relationship Id="rId80" Type="http://schemas.openxmlformats.org/officeDocument/2006/relationships/hyperlink" Target="https://doi.org/10.1016/j.livsci.2023.105320" TargetMode="External"/><Relationship Id="rId82" Type="http://schemas.openxmlformats.org/officeDocument/2006/relationships/hyperlink" Target="https://doi.org/10.1016/j.clet.2021.100065" TargetMode="External"/><Relationship Id="rId81" Type="http://schemas.openxmlformats.org/officeDocument/2006/relationships/hyperlink" Target="https://doi.org/10.1080/00439339.2023.2234341" TargetMode="External"/><Relationship Id="rId1" Type="http://schemas.openxmlformats.org/officeDocument/2006/relationships/comments" Target="../comments2.xml"/><Relationship Id="rId2" Type="http://schemas.openxmlformats.org/officeDocument/2006/relationships/hyperlink" Target="https://doi.org/10.1002/ecog.07625" TargetMode="External"/><Relationship Id="rId3" Type="http://schemas.openxmlformats.org/officeDocument/2006/relationships/hyperlink" Target="https://doi.org/10.1073/pnas.2521783123" TargetMode="External"/><Relationship Id="rId4" Type="http://schemas.openxmlformats.org/officeDocument/2006/relationships/hyperlink" Target="https://doi.org/10.1098/rsos.260165" TargetMode="External"/><Relationship Id="rId9" Type="http://schemas.openxmlformats.org/officeDocument/2006/relationships/hyperlink" Target="https://doi.org/10.1016/j.scitotenv.2024.174880" TargetMode="External"/><Relationship Id="rId143" Type="http://schemas.openxmlformats.org/officeDocument/2006/relationships/hyperlink" Target="https://doi.org/10.55905/revconv.19n.1-123" TargetMode="External"/><Relationship Id="rId142" Type="http://schemas.openxmlformats.org/officeDocument/2006/relationships/hyperlink" Target="https://doi.org/10.55905/revconv.19n.1-118" TargetMode="External"/><Relationship Id="rId141" Type="http://schemas.openxmlformats.org/officeDocument/2006/relationships/hyperlink" Target="https://doi.org/10.23900/artefactum.v25i1.2545" TargetMode="External"/><Relationship Id="rId140" Type="http://schemas.openxmlformats.org/officeDocument/2006/relationships/hyperlink" Target="https://doi.org/10.5327/fst.00133" TargetMode="External"/><Relationship Id="rId5" Type="http://schemas.openxmlformats.org/officeDocument/2006/relationships/hyperlink" Target="https://doi.org/10.3389/fitd.2025.1590603" TargetMode="External"/><Relationship Id="rId6" Type="http://schemas.openxmlformats.org/officeDocument/2006/relationships/hyperlink" Target="https://doi.org/10.1016/j.foreco.2025.122985" TargetMode="External"/><Relationship Id="rId146" Type="http://schemas.openxmlformats.org/officeDocument/2006/relationships/vmlDrawing" Target="../drawings/vmlDrawing2.vml"/><Relationship Id="rId7" Type="http://schemas.openxmlformats.org/officeDocument/2006/relationships/hyperlink" Target="https://doi.org/10.1007/s10531-025-03136-4" TargetMode="External"/><Relationship Id="rId145" Type="http://schemas.openxmlformats.org/officeDocument/2006/relationships/drawing" Target="../drawings/drawing4.xml"/><Relationship Id="rId8" Type="http://schemas.openxmlformats.org/officeDocument/2006/relationships/hyperlink" Target="https://doi.org/10.1111/ibi.70015" TargetMode="External"/><Relationship Id="rId144" Type="http://schemas.openxmlformats.org/officeDocument/2006/relationships/hyperlink" Target="https://doi.org/10.1016/j.jspr.2026.103146" TargetMode="External"/><Relationship Id="rId73" Type="http://schemas.openxmlformats.org/officeDocument/2006/relationships/hyperlink" Target="https://doi.org/10.1017/S002202992510112X" TargetMode="External"/><Relationship Id="rId72" Type="http://schemas.openxmlformats.org/officeDocument/2006/relationships/hyperlink" Target="https://doi.org/10.1016/j.rvsc.2025.105989" TargetMode="External"/><Relationship Id="rId75" Type="http://schemas.openxmlformats.org/officeDocument/2006/relationships/hyperlink" Target="https://doi.org/10.5433/1679-0359.2025v46n5p1485" TargetMode="External"/><Relationship Id="rId74" Type="http://schemas.openxmlformats.org/officeDocument/2006/relationships/hyperlink" Target="https://doi.org/10.1016/j.rvsc.2025.105669" TargetMode="External"/><Relationship Id="rId77" Type="http://schemas.openxmlformats.org/officeDocument/2006/relationships/hyperlink" Target="https://doi.org/10.14393/BJ-v40n0a2024-68089" TargetMode="External"/><Relationship Id="rId76" Type="http://schemas.openxmlformats.org/officeDocument/2006/relationships/hyperlink" Target="https://doi.org/10.1079/cabireviews.2025.0060" TargetMode="External"/><Relationship Id="rId79" Type="http://schemas.openxmlformats.org/officeDocument/2006/relationships/hyperlink" Target="https://doi.org/10.1016/j.rvsc.2024.105249" TargetMode="External"/><Relationship Id="rId78" Type="http://schemas.openxmlformats.org/officeDocument/2006/relationships/hyperlink" Target="https://doi.org/10.1016/j.rvsc.2024.105274" TargetMode="External"/><Relationship Id="rId71" Type="http://schemas.openxmlformats.org/officeDocument/2006/relationships/hyperlink" Target="https://doi.org/10.1016/j.prevetmed.2025.106754" TargetMode="External"/><Relationship Id="rId70" Type="http://schemas.openxmlformats.org/officeDocument/2006/relationships/hyperlink" Target="https://doi.org/10.1080/00439339.2026.2626674" TargetMode="External"/><Relationship Id="rId139" Type="http://schemas.openxmlformats.org/officeDocument/2006/relationships/hyperlink" Target="https://doi.org/10.1111/jfpe.14076" TargetMode="External"/><Relationship Id="rId138" Type="http://schemas.openxmlformats.org/officeDocument/2006/relationships/hyperlink" Target="https://doi.org/10.1002/jsfa.11493" TargetMode="External"/><Relationship Id="rId137" Type="http://schemas.openxmlformats.org/officeDocument/2006/relationships/hyperlink" Target="https://doi.org/10.53660/prw-2118-3912" TargetMode="External"/><Relationship Id="rId132" Type="http://schemas.openxmlformats.org/officeDocument/2006/relationships/hyperlink" Target="https://doi.org/10.37496/rbz5520250244" TargetMode="External"/><Relationship Id="rId131" Type="http://schemas.openxmlformats.org/officeDocument/2006/relationships/hyperlink" Target="https://doi.org/10.1590/S1678-3921.pab2026.v61.03836" TargetMode="External"/><Relationship Id="rId130" Type="http://schemas.openxmlformats.org/officeDocument/2006/relationships/hyperlink" Target="https://doi.org/10.1590/1984-3143-AR2025-0043" TargetMode="External"/><Relationship Id="rId136" Type="http://schemas.openxmlformats.org/officeDocument/2006/relationships/hyperlink" Target="https://doi.org/10.53660/prw-1925-3604" TargetMode="External"/><Relationship Id="rId135" Type="http://schemas.openxmlformats.org/officeDocument/2006/relationships/hyperlink" Target="https://doi.org/10.5380/rf.v54i1.86047" TargetMode="External"/><Relationship Id="rId134" Type="http://schemas.openxmlformats.org/officeDocument/2006/relationships/hyperlink" Target="https://doi.org/10.55905/rdelosv18.n64-010" TargetMode="External"/><Relationship Id="rId133" Type="http://schemas.openxmlformats.org/officeDocument/2006/relationships/hyperlink" Target="https://doi.org/10.1590/1413-7054202549024124" TargetMode="External"/><Relationship Id="rId62" Type="http://schemas.openxmlformats.org/officeDocument/2006/relationships/hyperlink" Target="https://doi.org/10.1007/s10493-022-00754-3" TargetMode="External"/><Relationship Id="rId61" Type="http://schemas.openxmlformats.org/officeDocument/2006/relationships/hyperlink" Target="https://doi.org/10.1007/s42991-022-00269-9" TargetMode="External"/><Relationship Id="rId64" Type="http://schemas.openxmlformats.org/officeDocument/2006/relationships/hyperlink" Target="https://doi.org/10.3897/zookeys.1243.141601" TargetMode="External"/><Relationship Id="rId63" Type="http://schemas.openxmlformats.org/officeDocument/2006/relationships/hyperlink" Target="https://doi.org/10.1093/jmammal/gyab063" TargetMode="External"/><Relationship Id="rId66" Type="http://schemas.openxmlformats.org/officeDocument/2006/relationships/hyperlink" Target="https://doi.org/10.3390/pathogens12030446" TargetMode="External"/><Relationship Id="rId65" Type="http://schemas.openxmlformats.org/officeDocument/2006/relationships/hyperlink" Target="https://doi.org/10.3390/pathogens13010013" TargetMode="External"/><Relationship Id="rId68" Type="http://schemas.openxmlformats.org/officeDocument/2006/relationships/hyperlink" Target="https://doi.org/10.1007/s10493-022-00754-3" TargetMode="External"/><Relationship Id="rId67" Type="http://schemas.openxmlformats.org/officeDocument/2006/relationships/hyperlink" Target="https://doi.org/10.3389/fevo.2022.740371" TargetMode="External"/><Relationship Id="rId60" Type="http://schemas.openxmlformats.org/officeDocument/2006/relationships/hyperlink" Target="https://doi.org/10.3389/fevo.2022.740371" TargetMode="External"/><Relationship Id="rId69" Type="http://schemas.openxmlformats.org/officeDocument/2006/relationships/hyperlink" Target="https://doi.org/10.1093/jmammal/gyab063" TargetMode="External"/><Relationship Id="rId51" Type="http://schemas.openxmlformats.org/officeDocument/2006/relationships/hyperlink" Target="https://doi.org/10.1007/s11356-022-20488-4" TargetMode="External"/><Relationship Id="rId50" Type="http://schemas.openxmlformats.org/officeDocument/2006/relationships/hyperlink" Target="https://doi.org/10.1007/s12161-024-02732-4" TargetMode="External"/><Relationship Id="rId53" Type="http://schemas.openxmlformats.org/officeDocument/2006/relationships/hyperlink" Target="http://dx.doi.org/10.1016/j.micromeso.2021.110890" TargetMode="External"/><Relationship Id="rId52" Type="http://schemas.openxmlformats.org/officeDocument/2006/relationships/hyperlink" Target="https://doi.org/10.1016/j.biortech.2022.127335" TargetMode="External"/><Relationship Id="rId55" Type="http://schemas.openxmlformats.org/officeDocument/2006/relationships/hyperlink" Target="https://doi.org/10.5216/rpt.v51i2.70392" TargetMode="External"/><Relationship Id="rId54" Type="http://schemas.openxmlformats.org/officeDocument/2006/relationships/hyperlink" Target="http://dx.doi.org/10.36661/2595-4520.2021v4i2.12066" TargetMode="External"/><Relationship Id="rId57" Type="http://schemas.openxmlformats.org/officeDocument/2006/relationships/hyperlink" Target="https://doi.org/10.1371/journal.pone.0273774" TargetMode="External"/><Relationship Id="rId56" Type="http://schemas.openxmlformats.org/officeDocument/2006/relationships/hyperlink" Target="https://doi.org/10.1080/24750263.2022.2108513" TargetMode="External"/><Relationship Id="rId59" Type="http://schemas.openxmlformats.org/officeDocument/2006/relationships/hyperlink" Target="https://doi.org/10.3390/pathogens12030446" TargetMode="External"/><Relationship Id="rId58" Type="http://schemas.openxmlformats.org/officeDocument/2006/relationships/hyperlink" Target="https://doi.org/10.3897/zookeys.1243.141601" TargetMode="Externa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doi.org/10.1016/j.prevetmed.2025.106754" TargetMode="External"/><Relationship Id="rId22" Type="http://schemas.openxmlformats.org/officeDocument/2006/relationships/hyperlink" Target="https://openknowledge.fao.org/handle/20.500.14283/cd9571en" TargetMode="External"/><Relationship Id="rId21" Type="http://schemas.openxmlformats.org/officeDocument/2006/relationships/hyperlink" Target="https://doi.org/10.1016/j.prevetmed.2025.106754" TargetMode="External"/><Relationship Id="rId24" Type="http://schemas.openxmlformats.org/officeDocument/2006/relationships/drawing" Target="../drawings/drawing5.xml"/><Relationship Id="rId23" Type="http://schemas.openxmlformats.org/officeDocument/2006/relationships/hyperlink" Target="https://openknowledge.fao.org/handle/20.500.14283/cd9571en" TargetMode="External"/><Relationship Id="rId25" Type="http://schemas.openxmlformats.org/officeDocument/2006/relationships/vmlDrawing" Target="../drawings/vmlDrawing3.vml"/><Relationship Id="rId11" Type="http://schemas.openxmlformats.org/officeDocument/2006/relationships/hyperlink" Target="https://themaetscientia.fag.edu.br/index.php/RTES/article/view/2414/2011" TargetMode="External"/><Relationship Id="rId10" Type="http://schemas.openxmlformats.org/officeDocument/2006/relationships/hyperlink" Target="https://themaetscientia.fag.edu.br/index.php/RTES/article/view/2414/2011" TargetMode="External"/><Relationship Id="rId13" Type="http://schemas.openxmlformats.org/officeDocument/2006/relationships/hyperlink" Target="https://drive.google.com/file/d/1vwIDQ6lMsAjN4vNzT2_5B9lQWWCojmjt/view?usp=sharing" TargetMode="External"/><Relationship Id="rId12" Type="http://schemas.openxmlformats.org/officeDocument/2006/relationships/hyperlink" Target="https://drive.google.com/file/d/1vwIDQ6lMsAjN4vNzT2_5B9lQWWCojmjt/view?usp=sharing" TargetMode="External"/><Relationship Id="rId15" Type="http://schemas.openxmlformats.org/officeDocument/2006/relationships/hyperlink" Target="https://doi.org/10.64628/ADE.whu7r59mf" TargetMode="External"/><Relationship Id="rId14" Type="http://schemas.openxmlformats.org/officeDocument/2006/relationships/hyperlink" Target="https://doi.org/10.64628/ADE.whu7r59mf" TargetMode="External"/><Relationship Id="rId17" Type="http://schemas.openxmlformats.org/officeDocument/2006/relationships/hyperlink" Target="https://www.gov.br/conab/pt-br/acesso-a-informacao/institucional/publicacoes/outras-publicacoes/Perdas%20em%20transporte%20e%20armanenagem%20de%20graos/%40%40download/file" TargetMode="External"/><Relationship Id="rId16" Type="http://schemas.openxmlformats.org/officeDocument/2006/relationships/hyperlink" Target="https://www.gov.br/conab/pt-br/acesso-a-informacao/institucional/publicacoes/outras-publicacoes/Perdas%20em%20transporte%20e%20armanenagem%20de%20graos/%40%40download/file" TargetMode="External"/><Relationship Id="rId19" Type="http://schemas.openxmlformats.org/officeDocument/2006/relationships/hyperlink" Target="https://www.infoteca.cnptia.embrapa.br/infoteca/bitstream/doc/1124354/1/DocOnline-186-Casiane-completo.pdf" TargetMode="External"/><Relationship Id="rId18" Type="http://schemas.openxmlformats.org/officeDocument/2006/relationships/hyperlink" Target="https://www.infoteca.cnptia.embrapa.br/infoteca/bitstream/doc/1124354/1/DocOnline-186-Casiane-completo.pdf" TargetMode="External"/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www.embrapa.br/busca-de-publicacoes/-/publicacao/1178442/sistemas-integrados-no-contexto-das-mudancas-climaticas" TargetMode="External"/><Relationship Id="rId9" Type="http://schemas.openxmlformats.org/officeDocument/2006/relationships/hyperlink" Target="https://drive.google.com/file/d/1yDzjHUmogNWsiqyuyKvurF4rlJcnnLlu/view" TargetMode="External"/><Relationship Id="rId5" Type="http://schemas.openxmlformats.org/officeDocument/2006/relationships/hyperlink" Target="https://www.embrapa.br/busca-de-publicacoes/-/publicacao/1178442/sistemas-integrados-no-contexto-das-mudancas-climaticas" TargetMode="External"/><Relationship Id="rId6" Type="http://schemas.openxmlformats.org/officeDocument/2006/relationships/hyperlink" Target="https://www.embrapa.br/busca-de-publicacoes/-/publicacao/1178447/relacao-ambiente-planta-animal-em-sistemas-integrados" TargetMode="External"/><Relationship Id="rId7" Type="http://schemas.openxmlformats.org/officeDocument/2006/relationships/hyperlink" Target="https://www.embrapa.br/busca-de-publicacoes/-/publicacao/1178447/relacao-ambiente-planta-animal-em-sistemas-integrados" TargetMode="External"/><Relationship Id="rId8" Type="http://schemas.openxmlformats.org/officeDocument/2006/relationships/hyperlink" Target="https://drive.google.com/file/d/1yDzjHUmogNWsiqyuyKvurF4rlJcnnLlu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D32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1.13"/>
    <col customWidth="1" min="2" max="8" width="14.5"/>
    <col customWidth="1" min="9" max="26" width="8.63"/>
  </cols>
  <sheetData>
    <row r="1" ht="25.5" customHeight="1">
      <c r="A1" s="1" t="s">
        <v>1</v>
      </c>
    </row>
    <row r="2">
      <c r="A2" s="2" t="s">
        <v>3</v>
      </c>
    </row>
    <row r="3">
      <c r="A3" s="3"/>
      <c r="B3" s="3"/>
      <c r="C3" s="3"/>
      <c r="D3" s="3"/>
      <c r="E3" s="3"/>
      <c r="F3" s="3"/>
      <c r="G3" s="3"/>
      <c r="H3" s="3"/>
    </row>
    <row r="4">
      <c r="A4" s="4" t="s">
        <v>5</v>
      </c>
      <c r="B4" s="7" t="s">
        <v>13</v>
      </c>
      <c r="C4" s="9" t="s">
        <v>17</v>
      </c>
    </row>
    <row r="5">
      <c r="A5" s="3"/>
      <c r="B5" s="3"/>
      <c r="C5" s="3"/>
      <c r="D5" s="3"/>
      <c r="E5" s="3"/>
      <c r="F5" s="3"/>
      <c r="G5" s="3"/>
      <c r="H5" s="3"/>
    </row>
    <row r="6" ht="31.5" customHeight="1">
      <c r="A6" s="6" t="s">
        <v>23</v>
      </c>
      <c r="B6" s="11" t="s">
        <v>25</v>
      </c>
      <c r="C6" s="12"/>
      <c r="D6" s="12"/>
      <c r="E6" s="12"/>
      <c r="F6" s="12"/>
      <c r="G6" s="12"/>
      <c r="H6" s="14"/>
    </row>
    <row r="7" ht="31.5" customHeight="1">
      <c r="A7" s="6" t="s">
        <v>38</v>
      </c>
      <c r="B7" s="11" t="s">
        <v>39</v>
      </c>
      <c r="C7" s="12"/>
      <c r="D7" s="12"/>
      <c r="E7" s="12"/>
      <c r="F7" s="12"/>
      <c r="G7" s="12"/>
      <c r="H7" s="14"/>
    </row>
    <row r="8" ht="40.5" customHeight="1">
      <c r="A8" s="6" t="s">
        <v>48</v>
      </c>
      <c r="B8" s="11" t="s">
        <v>52</v>
      </c>
      <c r="C8" s="12"/>
      <c r="D8" s="12"/>
      <c r="E8" s="12"/>
      <c r="F8" s="12"/>
      <c r="G8" s="12"/>
      <c r="H8" s="14"/>
    </row>
    <row r="9" ht="31.5" customHeight="1">
      <c r="A9" s="6" t="s">
        <v>58</v>
      </c>
      <c r="B9" s="11" t="s">
        <v>59</v>
      </c>
      <c r="C9" s="12"/>
      <c r="D9" s="12"/>
      <c r="E9" s="12"/>
      <c r="F9" s="12"/>
      <c r="G9" s="12"/>
      <c r="H9" s="14"/>
    </row>
    <row r="10" ht="31.5" customHeight="1">
      <c r="A10" s="6" t="s">
        <v>60</v>
      </c>
      <c r="B10" s="11" t="s">
        <v>61</v>
      </c>
      <c r="C10" s="12"/>
      <c r="D10" s="12"/>
      <c r="E10" s="12"/>
      <c r="F10" s="12"/>
      <c r="G10" s="12"/>
      <c r="H10" s="14"/>
    </row>
    <row r="11" ht="31.5" customHeight="1">
      <c r="A11" s="6" t="s">
        <v>63</v>
      </c>
      <c r="B11" s="11" t="s">
        <v>64</v>
      </c>
      <c r="C11" s="12"/>
      <c r="D11" s="12"/>
      <c r="E11" s="12"/>
      <c r="F11" s="12"/>
      <c r="G11" s="12"/>
      <c r="H11" s="14"/>
    </row>
    <row r="12" ht="40.5" customHeight="1">
      <c r="A12" s="6" t="s">
        <v>67</v>
      </c>
      <c r="B12" s="21" t="s">
        <v>68</v>
      </c>
      <c r="C12" s="12"/>
      <c r="D12" s="12"/>
      <c r="E12" s="12"/>
      <c r="F12" s="12"/>
      <c r="G12" s="12"/>
      <c r="H12" s="14"/>
    </row>
    <row r="13" ht="31.5" customHeight="1">
      <c r="A13" s="6" t="s">
        <v>74</v>
      </c>
      <c r="B13" s="11" t="s">
        <v>76</v>
      </c>
      <c r="C13" s="12"/>
      <c r="D13" s="12"/>
      <c r="E13" s="12"/>
      <c r="F13" s="12"/>
      <c r="G13" s="12"/>
      <c r="H13" s="14"/>
    </row>
    <row r="14" ht="31.5" customHeight="1">
      <c r="A14" s="6" t="s">
        <v>79</v>
      </c>
      <c r="B14" s="11" t="s">
        <v>80</v>
      </c>
      <c r="C14" s="12"/>
      <c r="D14" s="12"/>
      <c r="E14" s="12"/>
      <c r="F14" s="12"/>
      <c r="G14" s="12"/>
      <c r="H14" s="14"/>
    </row>
    <row r="15" ht="31.5" customHeight="1">
      <c r="A15" s="6" t="s">
        <v>87</v>
      </c>
      <c r="B15" s="11" t="s">
        <v>91</v>
      </c>
      <c r="C15" s="12"/>
      <c r="D15" s="12"/>
      <c r="E15" s="12"/>
      <c r="F15" s="12"/>
      <c r="G15" s="12"/>
      <c r="H15" s="14"/>
    </row>
    <row r="16" ht="31.5" customHeight="1">
      <c r="A16" s="6" t="s">
        <v>98</v>
      </c>
      <c r="B16" s="11" t="s">
        <v>100</v>
      </c>
      <c r="C16" s="12"/>
      <c r="D16" s="12"/>
      <c r="E16" s="12"/>
      <c r="F16" s="12"/>
      <c r="G16" s="12"/>
      <c r="H16" s="14"/>
    </row>
    <row r="17" ht="31.5" customHeight="1">
      <c r="A17" s="6" t="s">
        <v>107</v>
      </c>
      <c r="B17" s="21" t="s">
        <v>110</v>
      </c>
      <c r="C17" s="12"/>
      <c r="D17" s="12"/>
      <c r="E17" s="12"/>
      <c r="F17" s="12"/>
      <c r="G17" s="12"/>
      <c r="H17" s="14"/>
    </row>
    <row r="18" ht="31.5" customHeight="1">
      <c r="A18" s="26" t="s">
        <v>121</v>
      </c>
      <c r="B18" s="27" t="s">
        <v>129</v>
      </c>
      <c r="C18" s="12"/>
      <c r="D18" s="12"/>
      <c r="E18" s="12"/>
      <c r="F18" s="12"/>
      <c r="G18" s="12"/>
      <c r="H18" s="14"/>
    </row>
    <row r="19">
      <c r="A19" s="3"/>
      <c r="B19" s="3"/>
      <c r="C19" s="3"/>
      <c r="D19" s="3"/>
      <c r="E19" s="3"/>
      <c r="F19" s="3"/>
      <c r="G19" s="3"/>
      <c r="H19" s="3"/>
    </row>
    <row r="20">
      <c r="A20" s="20" t="s">
        <v>138</v>
      </c>
      <c r="B20" s="12"/>
      <c r="C20" s="12"/>
      <c r="D20" s="12"/>
      <c r="E20" s="12"/>
      <c r="F20" s="12"/>
      <c r="G20" s="12"/>
      <c r="H20" s="14"/>
    </row>
    <row r="21" ht="21.0" customHeight="1">
      <c r="A21" s="32" t="s">
        <v>141</v>
      </c>
      <c r="B21" s="12"/>
      <c r="C21" s="12"/>
      <c r="D21" s="14"/>
      <c r="E21" s="33" t="str">
        <f>HYPERLINK("https://drive.google.com/file/d/1sPPe5quxj4cmBdZ1kJ_cUaX2jb0-3fwV/view?usp=drivesdk","Abrir arquivo na pasta")</f>
        <v>Abrir arquivo na pasta</v>
      </c>
      <c r="F21" s="12"/>
      <c r="G21" s="12"/>
      <c r="H21" s="14"/>
    </row>
    <row r="22" ht="21.0" customHeight="1">
      <c r="A22" s="32" t="s">
        <v>145</v>
      </c>
      <c r="B22" s="12"/>
      <c r="C22" s="12"/>
      <c r="D22" s="14"/>
      <c r="E22" s="33" t="str">
        <f>HYPERLINK("https://drive.google.com/file/d/1nZ2Wg1-k6_pl-n21MEjwS4dYw9e7-AEU/view?usp=drivesdk","Abrir arquivo na pasta")</f>
        <v>Abrir arquivo na pasta</v>
      </c>
      <c r="F22" s="12"/>
      <c r="G22" s="12"/>
      <c r="H22" s="14"/>
    </row>
    <row r="23" ht="21.0" customHeight="1">
      <c r="A23" s="32" t="s">
        <v>147</v>
      </c>
      <c r="B23" s="12"/>
      <c r="C23" s="12"/>
      <c r="D23" s="14"/>
      <c r="E23" s="33" t="str">
        <f>HYPERLINK("https://drive.google.com/file/d/1v6Bm0-3GNPp-Qrp6tzjtcfZlH0ItC5hq/view?usp=drivesdk","Abrir arquivo na pasta")</f>
        <v>Abrir arquivo na pasta</v>
      </c>
      <c r="F23" s="12"/>
      <c r="G23" s="12"/>
      <c r="H23" s="14"/>
    </row>
    <row r="24" ht="21.0" customHeight="1">
      <c r="A24" s="32" t="s">
        <v>149</v>
      </c>
      <c r="B24" s="12"/>
      <c r="C24" s="12"/>
      <c r="D24" s="14"/>
      <c r="E24" s="33" t="str">
        <f>HYPERLINK("https://drive.google.com/file/d/1yHDw_hEfQZtOsEV3U-ewKTrH9DGMT8Bh/view?usp=drivesdk","Abrir arquivo na pasta")</f>
        <v>Abrir arquivo na pasta</v>
      </c>
      <c r="F24" s="12"/>
      <c r="G24" s="12"/>
      <c r="H24" s="14"/>
    </row>
    <row r="25" ht="21.0" customHeight="1">
      <c r="A25" s="32" t="s">
        <v>152</v>
      </c>
      <c r="B25" s="12"/>
      <c r="C25" s="12"/>
      <c r="D25" s="14"/>
      <c r="E25" s="33" t="str">
        <f>HYPERLINK("https://drive.google.com/file/d/1Bzs3znyv-K_yff20DxvfyTZQe-Zg3qBK/view?usp=drivesdk","Abrir arquivo na pasta")</f>
        <v>Abrir arquivo na pasta</v>
      </c>
      <c r="F25" s="12"/>
      <c r="G25" s="12"/>
      <c r="H25" s="14"/>
    </row>
    <row r="26" ht="21.0" customHeight="1">
      <c r="A26" s="32" t="s">
        <v>153</v>
      </c>
      <c r="B26" s="12"/>
      <c r="C26" s="12"/>
      <c r="D26" s="14"/>
      <c r="E26" s="33" t="str">
        <f>HYPERLINK("https://drive.google.com/file/d/1z_WwJI1RBFcgcNhSAU5JHqbzwa8aQbu_/view?usp=drivesdk","Abrir arquivo na pasta")</f>
        <v>Abrir arquivo na pasta</v>
      </c>
      <c r="F26" s="12"/>
      <c r="G26" s="12"/>
      <c r="H26" s="14"/>
    </row>
    <row r="27" ht="21.0" customHeight="1">
      <c r="A27" s="32" t="s">
        <v>156</v>
      </c>
      <c r="B27" s="12"/>
      <c r="C27" s="12"/>
      <c r="D27" s="14"/>
      <c r="E27" s="33" t="str">
        <f>HYPERLINK("https://drive.google.com/file/d/1t-dJ_SNpGh7GKI96Z43gB6ZZ2AIc-UlC/view?usp=drivesdk","Abrir arquivo na pasta")</f>
        <v>Abrir arquivo na pasta</v>
      </c>
      <c r="F27" s="12"/>
      <c r="G27" s="12"/>
      <c r="H27" s="14"/>
    </row>
    <row r="28" ht="21.0" customHeight="1">
      <c r="A28" s="32" t="s">
        <v>159</v>
      </c>
      <c r="B28" s="12"/>
      <c r="C28" s="12"/>
      <c r="D28" s="14"/>
      <c r="E28" s="33" t="str">
        <f>HYPERLINK("https://drive.google.com/file/d/1Y4Y2L-Jl2SQZbTJorXAru3hC5GdFrGPE/view?usp=drivesdk","Abrir arquivo na pasta")</f>
        <v>Abrir arquivo na pasta</v>
      </c>
      <c r="F28" s="12"/>
      <c r="G28" s="12"/>
      <c r="H28" s="14"/>
    </row>
    <row r="29" ht="15.75" customHeight="1">
      <c r="A29" s="3"/>
      <c r="B29" s="3"/>
      <c r="C29" s="3"/>
      <c r="D29" s="3"/>
      <c r="E29" s="3"/>
      <c r="F29" s="3"/>
      <c r="G29" s="3"/>
      <c r="H29" s="3"/>
    </row>
    <row r="30" ht="15.75" customHeight="1">
      <c r="A30" s="3"/>
      <c r="B30" s="3"/>
      <c r="C30" s="3"/>
      <c r="D30" s="3"/>
      <c r="E30" s="3"/>
      <c r="F30" s="3"/>
      <c r="G30" s="3"/>
      <c r="H30" s="3"/>
    </row>
    <row r="31" ht="15.75" customHeight="1">
      <c r="A31" s="3"/>
      <c r="B31" s="3"/>
      <c r="C31" s="3"/>
      <c r="D31" s="3"/>
      <c r="E31" s="3"/>
      <c r="F31" s="3"/>
      <c r="G31" s="3"/>
      <c r="H31" s="3"/>
    </row>
    <row r="32" ht="15.75" customHeight="1">
      <c r="A32" s="3"/>
      <c r="B32" s="3"/>
      <c r="C32" s="3"/>
      <c r="D32" s="3"/>
      <c r="E32" s="3"/>
      <c r="F32" s="3"/>
      <c r="G32" s="3"/>
      <c r="H3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A1:H1"/>
    <mergeCell ref="A2:H2"/>
    <mergeCell ref="C4:H4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B17:H17"/>
    <mergeCell ref="B18:H18"/>
    <mergeCell ref="A20:H20"/>
    <mergeCell ref="A21:D21"/>
    <mergeCell ref="E21:H21"/>
    <mergeCell ref="A22:D22"/>
    <mergeCell ref="E22:H22"/>
    <mergeCell ref="A26:D26"/>
    <mergeCell ref="A27:D27"/>
    <mergeCell ref="A28:D28"/>
    <mergeCell ref="E27:H27"/>
    <mergeCell ref="E28:H28"/>
    <mergeCell ref="A23:D23"/>
    <mergeCell ref="E23:H23"/>
    <mergeCell ref="A24:D24"/>
    <mergeCell ref="E24:H24"/>
    <mergeCell ref="A25:D25"/>
    <mergeCell ref="E25:H25"/>
    <mergeCell ref="E26:H26"/>
  </mergeCells>
  <dataValidations>
    <dataValidation type="list" allowBlank="1" sqref="B4">
      <formula1>"Acadêmico,Profissional"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D32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8.88"/>
    <col customWidth="1" min="2" max="2" width="25.5"/>
    <col customWidth="1" min="3" max="3" width="36.63"/>
    <col customWidth="1" min="4" max="4" width="24.5"/>
    <col customWidth="1" min="5" max="5" width="25.5"/>
    <col customWidth="1" min="6" max="26" width="8.63"/>
  </cols>
  <sheetData>
    <row r="1">
      <c r="A1" s="1" t="s">
        <v>2</v>
      </c>
    </row>
    <row r="2">
      <c r="A2" s="5" t="s">
        <v>4</v>
      </c>
      <c r="B2" s="5" t="s">
        <v>8</v>
      </c>
      <c r="C2" s="5" t="s">
        <v>9</v>
      </c>
      <c r="D2" s="5" t="s">
        <v>10</v>
      </c>
      <c r="E2" s="5" t="s">
        <v>11</v>
      </c>
    </row>
    <row r="3">
      <c r="A3" s="8" t="s">
        <v>14</v>
      </c>
      <c r="B3" s="8" t="s">
        <v>18</v>
      </c>
      <c r="C3" s="8" t="s">
        <v>18</v>
      </c>
      <c r="D3" s="8" t="s">
        <v>19</v>
      </c>
      <c r="E3" s="10">
        <v>1.0</v>
      </c>
    </row>
    <row r="4">
      <c r="A4" s="8" t="s">
        <v>26</v>
      </c>
      <c r="B4" s="8" t="s">
        <v>27</v>
      </c>
      <c r="C4" s="8" t="s">
        <v>27</v>
      </c>
      <c r="D4" s="8" t="s">
        <v>28</v>
      </c>
      <c r="E4" s="10">
        <v>0.875</v>
      </c>
    </row>
    <row r="5">
      <c r="A5" s="8" t="s">
        <v>29</v>
      </c>
      <c r="B5" s="8" t="s">
        <v>30</v>
      </c>
      <c r="C5" s="8" t="s">
        <v>30</v>
      </c>
      <c r="D5" s="8" t="s">
        <v>31</v>
      </c>
      <c r="E5" s="10">
        <v>0.75</v>
      </c>
    </row>
    <row r="6">
      <c r="A6" s="8" t="s">
        <v>32</v>
      </c>
      <c r="B6" s="8" t="s">
        <v>33</v>
      </c>
      <c r="C6" s="8" t="s">
        <v>33</v>
      </c>
      <c r="D6" s="8" t="s">
        <v>34</v>
      </c>
      <c r="E6" s="10">
        <v>0.625</v>
      </c>
    </row>
    <row r="7">
      <c r="A7" s="8" t="s">
        <v>35</v>
      </c>
      <c r="B7" s="8" t="s">
        <v>37</v>
      </c>
      <c r="C7" s="8" t="s">
        <v>37</v>
      </c>
      <c r="D7" s="8" t="s">
        <v>40</v>
      </c>
      <c r="E7" s="10">
        <v>0.5</v>
      </c>
    </row>
    <row r="8">
      <c r="A8" s="8" t="s">
        <v>42</v>
      </c>
      <c r="B8" s="8" t="s">
        <v>43</v>
      </c>
      <c r="C8" s="8" t="s">
        <v>43</v>
      </c>
      <c r="D8" s="8" t="s">
        <v>45</v>
      </c>
      <c r="E8" s="10">
        <v>0.375</v>
      </c>
    </row>
    <row r="9">
      <c r="A9" s="8" t="s">
        <v>47</v>
      </c>
      <c r="B9" s="8" t="s">
        <v>50</v>
      </c>
      <c r="C9" s="8" t="s">
        <v>50</v>
      </c>
      <c r="D9" s="8" t="s">
        <v>53</v>
      </c>
      <c r="E9" s="10">
        <v>0.25</v>
      </c>
    </row>
    <row r="10">
      <c r="A10" s="8" t="s">
        <v>55</v>
      </c>
      <c r="B10" s="8" t="s">
        <v>56</v>
      </c>
      <c r="C10" s="8" t="s">
        <v>56</v>
      </c>
      <c r="D10" s="8" t="s">
        <v>56</v>
      </c>
      <c r="E10" s="10">
        <v>0.125</v>
      </c>
    </row>
    <row r="11" ht="31.5" customHeight="1">
      <c r="A11" s="18" t="s">
        <v>57</v>
      </c>
    </row>
    <row r="12">
      <c r="A12" s="3"/>
      <c r="B12" s="3"/>
      <c r="C12" s="3"/>
      <c r="D12" s="3"/>
      <c r="E12" s="3"/>
    </row>
    <row r="13">
      <c r="A13" s="20" t="s">
        <v>65</v>
      </c>
      <c r="B13" s="12"/>
      <c r="C13" s="12"/>
      <c r="D13" s="12"/>
      <c r="E13" s="14"/>
    </row>
    <row r="14">
      <c r="A14" s="5" t="s">
        <v>69</v>
      </c>
      <c r="B14" s="5" t="s">
        <v>70</v>
      </c>
      <c r="C14" s="5" t="s">
        <v>71</v>
      </c>
      <c r="D14" s="5" t="s">
        <v>72</v>
      </c>
      <c r="E14" s="5" t="s">
        <v>73</v>
      </c>
    </row>
    <row r="15">
      <c r="A15" s="22" t="s">
        <v>75</v>
      </c>
      <c r="B15" s="23" t="s">
        <v>78</v>
      </c>
      <c r="C15" s="8" t="s">
        <v>81</v>
      </c>
      <c r="D15" s="8" t="s">
        <v>82</v>
      </c>
      <c r="E15" s="8" t="s">
        <v>83</v>
      </c>
    </row>
    <row r="16">
      <c r="A16" s="22" t="s">
        <v>84</v>
      </c>
      <c r="B16" s="23" t="s">
        <v>85</v>
      </c>
      <c r="C16" s="8" t="s">
        <v>86</v>
      </c>
      <c r="D16" s="8" t="s">
        <v>82</v>
      </c>
      <c r="E16" s="8" t="s">
        <v>83</v>
      </c>
    </row>
    <row r="17">
      <c r="A17" s="22" t="s">
        <v>88</v>
      </c>
      <c r="B17" s="23" t="s">
        <v>89</v>
      </c>
      <c r="C17" s="8" t="s">
        <v>90</v>
      </c>
      <c r="D17" s="8" t="s">
        <v>82</v>
      </c>
      <c r="E17" s="8" t="s">
        <v>83</v>
      </c>
    </row>
    <row r="18">
      <c r="A18" s="22" t="s">
        <v>92</v>
      </c>
      <c r="B18" s="23" t="s">
        <v>93</v>
      </c>
      <c r="C18" s="8" t="s">
        <v>94</v>
      </c>
      <c r="D18" s="8" t="s">
        <v>82</v>
      </c>
      <c r="E18" s="8" t="s">
        <v>83</v>
      </c>
    </row>
    <row r="19">
      <c r="A19" s="22" t="s">
        <v>95</v>
      </c>
      <c r="B19" s="23" t="s">
        <v>96</v>
      </c>
      <c r="C19" s="8" t="s">
        <v>99</v>
      </c>
      <c r="D19" s="8" t="s">
        <v>82</v>
      </c>
      <c r="E19" s="8" t="s">
        <v>83</v>
      </c>
    </row>
    <row r="20">
      <c r="A20" s="22" t="s">
        <v>101</v>
      </c>
      <c r="B20" s="23" t="s">
        <v>102</v>
      </c>
      <c r="C20" s="8" t="s">
        <v>103</v>
      </c>
      <c r="D20" s="8" t="s">
        <v>82</v>
      </c>
      <c r="E20" s="8" t="s">
        <v>83</v>
      </c>
    </row>
    <row r="21" ht="15.75" customHeight="1">
      <c r="A21" s="22" t="s">
        <v>104</v>
      </c>
      <c r="B21" s="23" t="s">
        <v>105</v>
      </c>
      <c r="C21" s="8" t="s">
        <v>106</v>
      </c>
      <c r="D21" s="8" t="s">
        <v>82</v>
      </c>
      <c r="E21" s="8" t="s">
        <v>83</v>
      </c>
    </row>
    <row r="22" ht="15.75" customHeight="1">
      <c r="A22" s="22" t="s">
        <v>108</v>
      </c>
      <c r="B22" s="23" t="s">
        <v>109</v>
      </c>
      <c r="C22" s="8" t="s">
        <v>111</v>
      </c>
      <c r="D22" s="8" t="s">
        <v>82</v>
      </c>
      <c r="E22" s="8" t="s">
        <v>83</v>
      </c>
    </row>
    <row r="23" ht="15.75" customHeight="1">
      <c r="A23" s="22" t="s">
        <v>112</v>
      </c>
      <c r="B23" s="23" t="s">
        <v>113</v>
      </c>
      <c r="C23" s="8" t="s">
        <v>114</v>
      </c>
      <c r="D23" s="8" t="s">
        <v>82</v>
      </c>
      <c r="E23" s="8" t="s">
        <v>83</v>
      </c>
    </row>
    <row r="24" ht="15.75" customHeight="1">
      <c r="A24" s="22" t="s">
        <v>115</v>
      </c>
      <c r="B24" s="23" t="s">
        <v>116</v>
      </c>
      <c r="C24" s="8" t="s">
        <v>117</v>
      </c>
      <c r="D24" s="8" t="s">
        <v>82</v>
      </c>
      <c r="E24" s="8" t="s">
        <v>83</v>
      </c>
    </row>
    <row r="25" ht="15.75" customHeight="1">
      <c r="A25" s="22" t="s">
        <v>118</v>
      </c>
      <c r="B25" s="23" t="s">
        <v>119</v>
      </c>
      <c r="C25" s="8" t="s">
        <v>120</v>
      </c>
      <c r="D25" s="8" t="s">
        <v>82</v>
      </c>
      <c r="E25" s="8" t="s">
        <v>83</v>
      </c>
    </row>
    <row r="26" ht="15.75" customHeight="1">
      <c r="A26" s="22" t="s">
        <v>122</v>
      </c>
      <c r="B26" s="23" t="s">
        <v>123</v>
      </c>
      <c r="C26" s="8" t="s">
        <v>124</v>
      </c>
      <c r="D26" s="8" t="s">
        <v>82</v>
      </c>
      <c r="E26" s="8" t="s">
        <v>83</v>
      </c>
    </row>
    <row r="27" ht="15.75" customHeight="1">
      <c r="A27" s="22" t="s">
        <v>125</v>
      </c>
      <c r="B27" s="23" t="s">
        <v>126</v>
      </c>
      <c r="C27" s="8" t="s">
        <v>127</v>
      </c>
      <c r="D27" s="8" t="s">
        <v>82</v>
      </c>
      <c r="E27" s="8" t="s">
        <v>83</v>
      </c>
    </row>
    <row r="28" ht="15.75" customHeight="1">
      <c r="A28" s="22" t="s">
        <v>128</v>
      </c>
      <c r="B28" s="23" t="s">
        <v>130</v>
      </c>
      <c r="C28" s="8" t="s">
        <v>131</v>
      </c>
      <c r="D28" s="8" t="s">
        <v>82</v>
      </c>
      <c r="E28" s="8" t="s">
        <v>83</v>
      </c>
    </row>
    <row r="29" ht="15.75" customHeight="1">
      <c r="A29" s="22" t="s">
        <v>132</v>
      </c>
      <c r="B29" s="23" t="s">
        <v>133</v>
      </c>
      <c r="C29" s="8" t="s">
        <v>134</v>
      </c>
      <c r="D29" s="8" t="s">
        <v>82</v>
      </c>
      <c r="E29" s="8" t="s">
        <v>83</v>
      </c>
    </row>
    <row r="30" ht="15.75" customHeight="1">
      <c r="A30" s="22" t="s">
        <v>135</v>
      </c>
      <c r="B30" s="23" t="s">
        <v>136</v>
      </c>
      <c r="C30" s="8" t="s">
        <v>137</v>
      </c>
      <c r="D30" s="8" t="s">
        <v>82</v>
      </c>
      <c r="E30" s="8" t="s">
        <v>83</v>
      </c>
    </row>
    <row r="31" ht="15.75" customHeight="1">
      <c r="A31" s="3"/>
      <c r="B31" s="3"/>
      <c r="C31" s="3"/>
      <c r="D31" s="3"/>
      <c r="E31" s="3"/>
    </row>
    <row r="32" ht="15.75" customHeight="1">
      <c r="A32" s="3"/>
      <c r="B32" s="3"/>
      <c r="C32" s="3"/>
      <c r="D32" s="3"/>
      <c r="E3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E1"/>
    <mergeCell ref="A11:E11"/>
    <mergeCell ref="A13:E1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D32"/>
    <pageSetUpPr/>
  </sheetPr>
  <sheetViews>
    <sheetView showGridLines="0" workbookViewId="0"/>
  </sheetViews>
  <sheetFormatPr customHeight="1" defaultColWidth="12.63" defaultRowHeight="15.0"/>
  <cols>
    <col customWidth="1" min="1" max="1" width="33.5"/>
    <col customWidth="1" min="2" max="2" width="35.63"/>
    <col customWidth="1" min="3" max="3" width="16.63"/>
    <col customWidth="1" min="4" max="4" width="18.5"/>
    <col customWidth="1" min="5" max="5" width="13.88"/>
    <col customWidth="1" min="6" max="6" width="16.13"/>
    <col customWidth="1" min="7" max="7" width="10.5"/>
    <col customWidth="1" min="8" max="8" width="11.13"/>
    <col customWidth="1" min="9" max="9" width="11.63"/>
    <col customWidth="1" min="10" max="10" width="20.0"/>
    <col customWidth="1" min="11" max="11" width="12.75"/>
    <col customWidth="1" min="12" max="12" width="15.0"/>
    <col customWidth="1" min="13" max="13" width="13.38"/>
    <col customWidth="1" min="14" max="14" width="11.63"/>
    <col customWidth="1" min="15" max="15" width="24.5"/>
    <col customWidth="1" min="16" max="26" width="8.63"/>
  </cols>
  <sheetData>
    <row r="1">
      <c r="A1" s="1" t="s">
        <v>0</v>
      </c>
    </row>
    <row r="2">
      <c r="A2" s="6" t="s">
        <v>6</v>
      </c>
      <c r="B2" s="15" t="str">
        <f>'Orientações'!B4</f>
        <v>Profissional</v>
      </c>
      <c r="C2" s="16"/>
      <c r="D2" s="6" t="s">
        <v>49</v>
      </c>
      <c r="E2" s="17">
        <f>COUNTA($A$8:$A$57)</f>
        <v>17</v>
      </c>
      <c r="F2" s="16"/>
      <c r="G2" s="6" t="s">
        <v>62</v>
      </c>
      <c r="H2" s="15">
        <v>12.0</v>
      </c>
      <c r="I2" s="16"/>
      <c r="J2" s="19" t="s">
        <v>66</v>
      </c>
      <c r="K2" s="25" t="str">
        <f>IF(E2&gt;=H2,"ATENDE","FALTAM "&amp;(H2-E2))</f>
        <v>ATENDE</v>
      </c>
      <c r="L2" s="3"/>
      <c r="M2" s="3"/>
      <c r="N2" s="3"/>
      <c r="O2" s="3"/>
    </row>
    <row r="3">
      <c r="A3" s="6" t="s">
        <v>97</v>
      </c>
      <c r="B3" s="29">
        <f>IFERROR(SUMIFS($H$8:$H$57,$A$8:$A$57,"&lt;&gt;",$C$8:$C$57,"&lt;&gt;sim")/SUMIFS($G$8:$G$57,$A$8:$A$57,"&lt;&gt;",$C$8:$C$57,"&lt;&gt;sim"),0)</f>
        <v>0.7142857143</v>
      </c>
      <c r="C3" s="16"/>
      <c r="D3" s="6" t="s">
        <v>139</v>
      </c>
      <c r="E3" s="30">
        <v>0.5</v>
      </c>
      <c r="F3" s="16"/>
      <c r="G3" s="6" t="s">
        <v>140</v>
      </c>
      <c r="H3" s="15" t="str">
        <f>IF(B3&gt;=E3,"ATENDE","ABAIXO DE 0,50")</f>
        <v>ATENDE</v>
      </c>
      <c r="I3" s="16"/>
      <c r="J3" s="19" t="s">
        <v>144</v>
      </c>
      <c r="K3" s="34">
        <f>IFERROR(COUNTIFS($A$8:$A$57,"&lt;&gt;",$D$8:$D$57,"sim")/COUNTA($A$8:$A$57),0)</f>
        <v>1</v>
      </c>
      <c r="L3" s="3"/>
      <c r="M3" s="3"/>
      <c r="N3" s="3"/>
      <c r="O3" s="3"/>
    </row>
    <row r="4">
      <c r="A4" s="6" t="s">
        <v>146</v>
      </c>
      <c r="B4" s="15" t="str">
        <f>IF(COUNTA($A$8:$A$57)=0,"AGUARDANDO",IF(COUNTIFS($A$8:$A$57,"&lt;&gt;",$E$8:$E$57,"&gt;=14")=COUNTA($A$8:$A$57),"ATENDE","REVISAR"))</f>
        <v>REVISAR</v>
      </c>
      <c r="C4" s="16"/>
      <c r="D4" s="6" t="s">
        <v>148</v>
      </c>
      <c r="E4" s="36">
        <f>IFERROR(AVERAGEIF($A$8:$A$57,"&lt;&gt;",$E$8:$E$57),0)</f>
        <v>14</v>
      </c>
      <c r="F4" s="16"/>
      <c r="G4" s="6" t="s">
        <v>150</v>
      </c>
      <c r="H4" s="15">
        <f>IFERROR(MAX($F$8:$F$57),0)</f>
        <v>1</v>
      </c>
      <c r="I4" s="16"/>
      <c r="J4" s="19" t="s">
        <v>151</v>
      </c>
      <c r="K4" s="25" t="str">
        <f>IF(COUNTA($A$8:$A$57)=0,"AGUARDANDO",IF(AND(B4="ATENDE",E4&gt;=15,H4&lt;=2,K3&gt;=50%),"ATENDE","REVISAR"))</f>
        <v>REVISAR</v>
      </c>
      <c r="L4" s="3"/>
      <c r="M4" s="3"/>
      <c r="N4" s="3"/>
      <c r="O4" s="3"/>
    </row>
    <row r="5">
      <c r="A5" s="6" t="s">
        <v>154</v>
      </c>
      <c r="B5" s="15">
        <f>COUNTIF($M$8:$M$57,"OK")</f>
        <v>1</v>
      </c>
      <c r="C5" s="16"/>
      <c r="D5" s="6" t="s">
        <v>155</v>
      </c>
      <c r="E5" s="17">
        <f>COUNTA($A$8:$A$57)</f>
        <v>17</v>
      </c>
      <c r="F5" s="16"/>
      <c r="G5" s="6" t="s">
        <v>157</v>
      </c>
      <c r="H5" s="15" t="str">
        <f>IF(E5=0,"AGUARDANDO",IF(B5=E5,"ATENDE","PENDENTE"))</f>
        <v>PENDENTE</v>
      </c>
      <c r="I5" s="16"/>
      <c r="J5" s="19" t="s">
        <v>158</v>
      </c>
      <c r="K5" s="25" t="str">
        <f>IF('Orientações'!B4="Profissional","2 destaques + 3 PTTs/DP","2 destaques/DP")</f>
        <v>2 destaques + 3 PTTs/DP</v>
      </c>
      <c r="L5" s="3"/>
      <c r="M5" s="3"/>
      <c r="N5" s="3"/>
      <c r="O5" s="3"/>
    </row>
    <row r="6">
      <c r="A6" s="37" t="s">
        <v>160</v>
      </c>
    </row>
    <row r="7" ht="40.5" customHeight="1">
      <c r="A7" s="39" t="s">
        <v>161</v>
      </c>
      <c r="B7" s="40" t="s">
        <v>12</v>
      </c>
      <c r="C7" s="5" t="s">
        <v>162</v>
      </c>
      <c r="D7" s="13" t="s">
        <v>163</v>
      </c>
      <c r="E7" s="5" t="s">
        <v>164</v>
      </c>
      <c r="F7" s="5" t="s">
        <v>165</v>
      </c>
      <c r="G7" s="5" t="s">
        <v>166</v>
      </c>
      <c r="H7" s="5" t="s">
        <v>167</v>
      </c>
      <c r="I7" s="5" t="s">
        <v>168</v>
      </c>
      <c r="J7" s="5" t="s">
        <v>169</v>
      </c>
      <c r="K7" s="5" t="s">
        <v>170</v>
      </c>
      <c r="L7" s="5" t="s">
        <v>171</v>
      </c>
      <c r="M7" s="5" t="s">
        <v>172</v>
      </c>
      <c r="N7" s="5" t="s">
        <v>173</v>
      </c>
      <c r="O7" s="5" t="s">
        <v>54</v>
      </c>
    </row>
    <row r="8">
      <c r="A8" s="42" t="s">
        <v>174</v>
      </c>
      <c r="B8" s="43" t="s">
        <v>175</v>
      </c>
      <c r="C8" s="44" t="s">
        <v>176</v>
      </c>
      <c r="D8" s="44" t="s">
        <v>177</v>
      </c>
      <c r="E8" s="45"/>
      <c r="F8" s="45"/>
      <c r="G8" s="46">
        <f>IF($A8="","",COUNTIFS('Lançamentos - Artigos'!$A$2:$A$506,$A8,'Lançamentos - Artigos'!$L$2:$L$506,"&gt;0"))</f>
        <v>0</v>
      </c>
      <c r="H8" s="47">
        <f>IF($A8="","",SUMIFS('Lançamentos - Artigos'!$L$2:$L$506,'Lançamentos - Artigos'!$A$2:$A$506,$A8))</f>
        <v>0</v>
      </c>
      <c r="I8" s="47" t="str">
        <f t="shared" ref="I8:I57" si="1">IF(OR($A8="",G8=0),"",H8/G8)</f>
        <v/>
      </c>
      <c r="J8" s="48" t="str">
        <f t="shared" ref="J8:J57" si="2">IF($A8="","",IF(LOWER($C8)="sim","EXCLUÍDA DO CÁLCULO GERAL",IF(G8=0,"SEM ARTIGO VÁLIDO",IF(I8&gt;=0.5,"REFERÊNCIA ATENDIDA","ABAIXO DE 0,50"))))</f>
        <v>SEM ARTIGO VÁLIDO</v>
      </c>
      <c r="K8" s="46">
        <f>IF($A8="","",COUNTIFS('Destaques e PTTs'!$A$2:$A$501,$A8,'Destaques e PTTs'!$C$2:$C$501,"Destaque*",'Destaques e PTTs'!$W$2:$W$501,"OK"))</f>
        <v>0</v>
      </c>
      <c r="L8" s="46">
        <f>IF($A8="","",COUNTIFS('Destaques e PTTs'!$A$2:$A$501,$A8,'Destaques e PTTs'!$C$2:$C$501,"PTT adicional*",'Destaques e PTTs'!$W$2:$W$501,"OK"))</f>
        <v>0</v>
      </c>
      <c r="M8" s="46" t="str">
        <f>IF($A8="","",IF('Orientações'!$B$4="Profissional",IF(AND(K8=2,L8=3),"OK",IF(OR(K8&gt;2,L8&gt;3),"EXCEDE","PENDENTE")),IF(K8=2,"OK",IF(K8&gt;2,"EXCEDE","PENDENTE"))))</f>
        <v>PENDENTE</v>
      </c>
      <c r="N8" s="46" t="str">
        <f t="shared" ref="N8:N57" si="3">IF($A8="","",IF(OR(LOWER($D8)&lt;&gt;"sim",$E8&lt;14,$F8&gt;2,$M8&lt;&gt;"OK",AND(LOWER($C8)&lt;&gt;"sim",G8=0)),"REVISAR","OK"))</f>
        <v>REVISAR</v>
      </c>
      <c r="O8" s="38"/>
    </row>
    <row r="9">
      <c r="A9" s="42" t="s">
        <v>198</v>
      </c>
      <c r="B9" s="43" t="s">
        <v>175</v>
      </c>
      <c r="C9" s="44" t="s">
        <v>176</v>
      </c>
      <c r="D9" s="44" t="s">
        <v>177</v>
      </c>
      <c r="E9" s="38"/>
      <c r="F9" s="38"/>
      <c r="G9" s="46">
        <f>IF($A9="","",COUNTIFS('Lançamentos - Artigos'!$A$2:$A$506,$A9,'Lançamentos - Artigos'!$L$2:$L$506,"&gt;0"))</f>
        <v>0</v>
      </c>
      <c r="H9" s="47">
        <f>IF($A9="","",SUMIFS('Lançamentos - Artigos'!$L$2:$L$506,'Lançamentos - Artigos'!$A$2:$A$506,$A9))</f>
        <v>0</v>
      </c>
      <c r="I9" s="47" t="str">
        <f t="shared" si="1"/>
        <v/>
      </c>
      <c r="J9" s="48" t="str">
        <f t="shared" si="2"/>
        <v>SEM ARTIGO VÁLIDO</v>
      </c>
      <c r="K9" s="46">
        <f>IF($A9="","",COUNTIFS('Destaques e PTTs'!$A$2:$A$501,$A9,'Destaques e PTTs'!$C$2:$C$501,"Destaque*",'Destaques e PTTs'!$W$2:$W$501,"OK"))</f>
        <v>0</v>
      </c>
      <c r="L9" s="46">
        <f>IF($A9="","",COUNTIFS('Destaques e PTTs'!$A$2:$A$501,$A9,'Destaques e PTTs'!$C$2:$C$501,"PTT adicional*",'Destaques e PTTs'!$W$2:$W$501,"OK"))</f>
        <v>0</v>
      </c>
      <c r="M9" s="46" t="str">
        <f>IF($A9="","",IF('Orientações'!$B$4="Profissional",IF(AND(K9=2,L9=3),"OK",IF(OR(K9&gt;2,L9&gt;3),"EXCEDE","PENDENTE")),IF(K9=2,"OK",IF(K9&gt;2,"EXCEDE","PENDENTE"))))</f>
        <v>PENDENTE</v>
      </c>
      <c r="N9" s="46" t="str">
        <f t="shared" si="3"/>
        <v>REVISAR</v>
      </c>
      <c r="O9" s="38"/>
    </row>
    <row r="10">
      <c r="A10" s="42" t="s">
        <v>207</v>
      </c>
      <c r="B10" s="43" t="s">
        <v>175</v>
      </c>
      <c r="C10" s="44" t="s">
        <v>176</v>
      </c>
      <c r="D10" s="44" t="s">
        <v>177</v>
      </c>
      <c r="E10" s="38"/>
      <c r="F10" s="38"/>
      <c r="G10" s="46">
        <f>IF($A10="","",COUNTIFS('Lançamentos - Artigos'!$A$2:$A$506,$A10,'Lançamentos - Artigos'!$L$2:$L$506,"&gt;0"))</f>
        <v>0</v>
      </c>
      <c r="H10" s="47">
        <f>IF($A10="","",SUMIFS('Lançamentos - Artigos'!$L$2:$L$506,'Lançamentos - Artigos'!$A$2:$A$506,$A10))</f>
        <v>0</v>
      </c>
      <c r="I10" s="47" t="str">
        <f t="shared" si="1"/>
        <v/>
      </c>
      <c r="J10" s="48" t="str">
        <f t="shared" si="2"/>
        <v>SEM ARTIGO VÁLIDO</v>
      </c>
      <c r="K10" s="46">
        <f>IF($A10="","",COUNTIFS('Destaques e PTTs'!$A$2:$A$501,$A10,'Destaques e PTTs'!$C$2:$C$501,"Destaque*",'Destaques e PTTs'!$W$2:$W$501,"OK"))</f>
        <v>0</v>
      </c>
      <c r="L10" s="46">
        <f>IF($A10="","",COUNTIFS('Destaques e PTTs'!$A$2:$A$501,$A10,'Destaques e PTTs'!$C$2:$C$501,"PTT adicional*",'Destaques e PTTs'!$W$2:$W$501,"OK"))</f>
        <v>0</v>
      </c>
      <c r="M10" s="46" t="str">
        <f>IF($A10="","",IF('Orientações'!$B$4="Profissional",IF(AND(K10=2,L10=3),"OK",IF(OR(K10&gt;2,L10&gt;3),"EXCEDE","PENDENTE")),IF(K10=2,"OK",IF(K10&gt;2,"EXCEDE","PENDENTE"))))</f>
        <v>PENDENTE</v>
      </c>
      <c r="N10" s="46" t="str">
        <f t="shared" si="3"/>
        <v>REVISAR</v>
      </c>
      <c r="O10" s="38"/>
    </row>
    <row r="11">
      <c r="A11" s="42" t="s">
        <v>223</v>
      </c>
      <c r="B11" s="43" t="s">
        <v>224</v>
      </c>
      <c r="C11" s="44" t="s">
        <v>176</v>
      </c>
      <c r="D11" s="44" t="s">
        <v>177</v>
      </c>
      <c r="E11" s="44">
        <v>14.0</v>
      </c>
      <c r="F11" s="44">
        <v>0.0</v>
      </c>
      <c r="G11" s="46">
        <f>IF($A11="","",COUNTIFS('Lançamentos - Artigos'!$A$2:$A$506,$A11,'Lançamentos - Artigos'!$L$2:$L$506,"&gt;0"))</f>
        <v>0</v>
      </c>
      <c r="H11" s="47">
        <f>IF($A11="","",SUMIFS('Lançamentos - Artigos'!$L$2:$L$506,'Lançamentos - Artigos'!$A$2:$A$506,$A11))</f>
        <v>0</v>
      </c>
      <c r="I11" s="47" t="str">
        <f t="shared" si="1"/>
        <v/>
      </c>
      <c r="J11" s="48" t="str">
        <f t="shared" si="2"/>
        <v>SEM ARTIGO VÁLIDO</v>
      </c>
      <c r="K11" s="46">
        <f>IF($A11="","",COUNTIFS('Destaques e PTTs'!$A$2:$A$501,$A11,'Destaques e PTTs'!$C$2:$C$501,"Destaque*",'Destaques e PTTs'!$W$2:$W$501,"OK"))</f>
        <v>0</v>
      </c>
      <c r="L11" s="46">
        <f>IF($A11="","",COUNTIFS('Destaques e PTTs'!$A$2:$A$501,$A11,'Destaques e PTTs'!$C$2:$C$501,"PTT adicional*",'Destaques e PTTs'!$W$2:$W$501,"OK"))</f>
        <v>0</v>
      </c>
      <c r="M11" s="46" t="str">
        <f>IF($A11="","",IF('Orientações'!$B$4="Profissional",IF(AND(K11=2,L11=3),"OK",IF(OR(K11&gt;2,L11&gt;3),"EXCEDE","PENDENTE")),IF(K11=2,"OK",IF(K11&gt;2,"EXCEDE","PENDENTE"))))</f>
        <v>PENDENTE</v>
      </c>
      <c r="N11" s="46" t="str">
        <f t="shared" si="3"/>
        <v>REVISAR</v>
      </c>
      <c r="O11" s="38"/>
    </row>
    <row r="12">
      <c r="A12" s="42" t="s">
        <v>232</v>
      </c>
      <c r="B12" s="53"/>
      <c r="C12" s="38"/>
      <c r="D12" s="44" t="s">
        <v>177</v>
      </c>
      <c r="E12" s="38"/>
      <c r="F12" s="38"/>
      <c r="G12" s="46">
        <f>IF($A12="","",COUNTIFS('Lançamentos - Artigos'!$A$2:$A$506,$A12,'Lançamentos - Artigos'!$L$2:$L$506,"&gt;0"))</f>
        <v>0</v>
      </c>
      <c r="H12" s="47">
        <f>IF($A12="","",SUMIFS('Lançamentos - Artigos'!$L$2:$L$506,'Lançamentos - Artigos'!$A$2:$A$506,$A12))</f>
        <v>0</v>
      </c>
      <c r="I12" s="47" t="str">
        <f t="shared" si="1"/>
        <v/>
      </c>
      <c r="J12" s="48" t="str">
        <f t="shared" si="2"/>
        <v>SEM ARTIGO VÁLIDO</v>
      </c>
      <c r="K12" s="46">
        <f>IF($A12="","",COUNTIFS('Destaques e PTTs'!$A$2:$A$501,$A12,'Destaques e PTTs'!$C$2:$C$501,"Destaque*",'Destaques e PTTs'!$W$2:$W$501,"OK"))</f>
        <v>0</v>
      </c>
      <c r="L12" s="46">
        <f>IF($A12="","",COUNTIFS('Destaques e PTTs'!$A$2:$A$501,$A12,'Destaques e PTTs'!$C$2:$C$501,"PTT adicional*",'Destaques e PTTs'!$W$2:$W$501,"OK"))</f>
        <v>0</v>
      </c>
      <c r="M12" s="46" t="str">
        <f>IF($A12="","",IF('Orientações'!$B$4="Profissional",IF(AND(K12=2,L12=3),"OK",IF(OR(K12&gt;2,L12&gt;3),"EXCEDE","PENDENTE")),IF(K12=2,"OK",IF(K12&gt;2,"EXCEDE","PENDENTE"))))</f>
        <v>PENDENTE</v>
      </c>
      <c r="N12" s="46" t="str">
        <f t="shared" si="3"/>
        <v>REVISAR</v>
      </c>
      <c r="O12" s="38"/>
    </row>
    <row r="13">
      <c r="A13" s="42" t="s">
        <v>247</v>
      </c>
      <c r="B13" s="43" t="s">
        <v>224</v>
      </c>
      <c r="C13" s="44" t="s">
        <v>176</v>
      </c>
      <c r="D13" s="44" t="s">
        <v>177</v>
      </c>
      <c r="E13" s="44">
        <v>14.0</v>
      </c>
      <c r="F13" s="44">
        <v>1.0</v>
      </c>
      <c r="G13" s="46">
        <f>IF($A13="","",COUNTIFS('Lançamentos - Artigos'!$A$2:$A$506,$A13,'Lançamentos - Artigos'!$L$2:$L$506,"&gt;0"))</f>
        <v>0</v>
      </c>
      <c r="H13" s="47">
        <f>IF($A13="","",SUMIFS('Lançamentos - Artigos'!$L$2:$L$506,'Lançamentos - Artigos'!$A$2:$A$506,$A13))</f>
        <v>0</v>
      </c>
      <c r="I13" s="47" t="str">
        <f t="shared" si="1"/>
        <v/>
      </c>
      <c r="J13" s="48" t="str">
        <f t="shared" si="2"/>
        <v>SEM ARTIGO VÁLIDO</v>
      </c>
      <c r="K13" s="46">
        <f>IF($A13="","",COUNTIFS('Destaques e PTTs'!$A$2:$A$501,$A13,'Destaques e PTTs'!$C$2:$C$501,"Destaque*",'Destaques e PTTs'!$W$2:$W$501,"OK"))</f>
        <v>0</v>
      </c>
      <c r="L13" s="46">
        <f>IF($A13="","",COUNTIFS('Destaques e PTTs'!$A$2:$A$501,$A13,'Destaques e PTTs'!$C$2:$C$501,"PTT adicional*",'Destaques e PTTs'!$W$2:$W$501,"OK"))</f>
        <v>0</v>
      </c>
      <c r="M13" s="46" t="str">
        <f>IF($A13="","",IF('Orientações'!$B$4="Profissional",IF(AND(K13=2,L13=3),"OK",IF(OR(K13&gt;2,L13&gt;3),"EXCEDE","PENDENTE")),IF(K13=2,"OK",IF(K13&gt;2,"EXCEDE","PENDENTE"))))</f>
        <v>PENDENTE</v>
      </c>
      <c r="N13" s="46" t="str">
        <f t="shared" si="3"/>
        <v>REVISAR</v>
      </c>
      <c r="O13" s="38"/>
    </row>
    <row r="14">
      <c r="A14" s="42" t="s">
        <v>260</v>
      </c>
      <c r="B14" s="43" t="s">
        <v>175</v>
      </c>
      <c r="C14" s="44" t="s">
        <v>176</v>
      </c>
      <c r="D14" s="44" t="s">
        <v>177</v>
      </c>
      <c r="E14" s="44">
        <v>14.0</v>
      </c>
      <c r="F14" s="44">
        <v>1.0</v>
      </c>
      <c r="G14" s="46">
        <f>IF($A14="","",COUNTIFS('Lançamentos - Artigos'!$A$2:$A$506,$A14,'Lançamentos - Artigos'!$L$2:$L$506,"&gt;0"))</f>
        <v>0</v>
      </c>
      <c r="H14" s="47">
        <f>IF($A14="","",SUMIFS('Lançamentos - Artigos'!$L$2:$L$506,'Lançamentos - Artigos'!$A$2:$A$506,$A14))</f>
        <v>0</v>
      </c>
      <c r="I14" s="47" t="str">
        <f t="shared" si="1"/>
        <v/>
      </c>
      <c r="J14" s="48" t="str">
        <f t="shared" si="2"/>
        <v>SEM ARTIGO VÁLIDO</v>
      </c>
      <c r="K14" s="46">
        <f>IF($A14="","",COUNTIFS('Destaques e PTTs'!$A$2:$A$501,$A14,'Destaques e PTTs'!$C$2:$C$501,"Destaque*",'Destaques e PTTs'!$W$2:$W$501,"OK"))</f>
        <v>0</v>
      </c>
      <c r="L14" s="46">
        <f>IF($A14="","",COUNTIFS('Destaques e PTTs'!$A$2:$A$501,$A14,'Destaques e PTTs'!$C$2:$C$501,"PTT adicional*",'Destaques e PTTs'!$W$2:$W$501,"OK"))</f>
        <v>0</v>
      </c>
      <c r="M14" s="46" t="str">
        <f>IF($A14="","",IF('Orientações'!$B$4="Profissional",IF(AND(K14=2,L14=3),"OK",IF(OR(K14&gt;2,L14&gt;3),"EXCEDE","PENDENTE")),IF(K14=2,"OK",IF(K14&gt;2,"EXCEDE","PENDENTE"))))</f>
        <v>PENDENTE</v>
      </c>
      <c r="N14" s="46" t="str">
        <f t="shared" si="3"/>
        <v>REVISAR</v>
      </c>
      <c r="O14" s="38"/>
    </row>
    <row r="15">
      <c r="A15" s="42" t="s">
        <v>271</v>
      </c>
      <c r="B15" s="43" t="s">
        <v>175</v>
      </c>
      <c r="C15" s="44" t="s">
        <v>176</v>
      </c>
      <c r="D15" s="44" t="s">
        <v>177</v>
      </c>
      <c r="E15" s="44">
        <v>14.0</v>
      </c>
      <c r="F15" s="44">
        <v>1.0</v>
      </c>
      <c r="G15" s="46">
        <f>IF($A15="","",COUNTIFS('Lançamentos - Artigos'!$A$2:$A$506,$A15,'Lançamentos - Artigos'!$L$2:$L$506,"&gt;0"))</f>
        <v>0</v>
      </c>
      <c r="H15" s="47">
        <f>IF($A15="","",SUMIFS('Lançamentos - Artigos'!$L$2:$L$506,'Lançamentos - Artigos'!$A$2:$A$506,$A15))</f>
        <v>0</v>
      </c>
      <c r="I15" s="47" t="str">
        <f t="shared" si="1"/>
        <v/>
      </c>
      <c r="J15" s="48" t="str">
        <f t="shared" si="2"/>
        <v>SEM ARTIGO VÁLIDO</v>
      </c>
      <c r="K15" s="46">
        <f>IF($A15="","",COUNTIFS('Destaques e PTTs'!$A$2:$A$501,$A15,'Destaques e PTTs'!$C$2:$C$501,"Destaque*",'Destaques e PTTs'!$W$2:$W$501,"OK"))</f>
        <v>0</v>
      </c>
      <c r="L15" s="46">
        <f>IF($A15="","",COUNTIFS('Destaques e PTTs'!$A$2:$A$501,$A15,'Destaques e PTTs'!$C$2:$C$501,"PTT adicional*",'Destaques e PTTs'!$W$2:$W$501,"OK"))</f>
        <v>0</v>
      </c>
      <c r="M15" s="46" t="str">
        <f>IF($A15="","",IF('Orientações'!$B$4="Profissional",IF(AND(K15=2,L15=3),"OK",IF(OR(K15&gt;2,L15&gt;3),"EXCEDE","PENDENTE")),IF(K15=2,"OK",IF(K15&gt;2,"EXCEDE","PENDENTE"))))</f>
        <v>PENDENTE</v>
      </c>
      <c r="N15" s="46" t="str">
        <f t="shared" si="3"/>
        <v>REVISAR</v>
      </c>
      <c r="O15" s="38"/>
    </row>
    <row r="16">
      <c r="A16" s="42" t="s">
        <v>284</v>
      </c>
      <c r="B16" s="43" t="s">
        <v>175</v>
      </c>
      <c r="C16" s="44" t="s">
        <v>176</v>
      </c>
      <c r="D16" s="44" t="s">
        <v>177</v>
      </c>
      <c r="E16" s="44">
        <v>14.0</v>
      </c>
      <c r="F16" s="44">
        <v>1.0</v>
      </c>
      <c r="G16" s="46">
        <f>IF($A16="","",COUNTIFS('Lançamentos - Artigos'!$A$2:$A$506,$A16,'Lançamentos - Artigos'!$L$2:$L$506,"&gt;0"))</f>
        <v>0</v>
      </c>
      <c r="H16" s="47">
        <f>IF($A16="","",SUMIFS('Lançamentos - Artigos'!$L$2:$L$506,'Lançamentos - Artigos'!$A$2:$A$506,$A16))</f>
        <v>0</v>
      </c>
      <c r="I16" s="47" t="str">
        <f t="shared" si="1"/>
        <v/>
      </c>
      <c r="J16" s="48" t="str">
        <f t="shared" si="2"/>
        <v>SEM ARTIGO VÁLIDO</v>
      </c>
      <c r="K16" s="46">
        <f>IF($A16="","",COUNTIFS('Destaques e PTTs'!$A$2:$A$501,$A16,'Destaques e PTTs'!$C$2:$C$501,"Destaque*",'Destaques e PTTs'!$W$2:$W$501,"OK"))</f>
        <v>0</v>
      </c>
      <c r="L16" s="46">
        <f>IF($A16="","",COUNTIFS('Destaques e PTTs'!$A$2:$A$501,$A16,'Destaques e PTTs'!$C$2:$C$501,"PTT adicional*",'Destaques e PTTs'!$W$2:$W$501,"OK"))</f>
        <v>0</v>
      </c>
      <c r="M16" s="46" t="str">
        <f>IF($A16="","",IF('Orientações'!$B$4="Profissional",IF(AND(K16=2,L16=3),"OK",IF(OR(K16&gt;2,L16&gt;3),"EXCEDE","PENDENTE")),IF(K16=2,"OK",IF(K16&gt;2,"EXCEDE","PENDENTE"))))</f>
        <v>PENDENTE</v>
      </c>
      <c r="N16" s="46" t="str">
        <f t="shared" si="3"/>
        <v>REVISAR</v>
      </c>
      <c r="O16" s="38"/>
    </row>
    <row r="17">
      <c r="A17" s="42" t="s">
        <v>298</v>
      </c>
      <c r="B17" s="53"/>
      <c r="C17" s="38"/>
      <c r="D17" s="44" t="s">
        <v>177</v>
      </c>
      <c r="E17" s="38"/>
      <c r="F17" s="38"/>
      <c r="G17" s="46">
        <f>IF($A17="","",COUNTIFS('Lançamentos - Artigos'!$A$2:$A$506,$A17,'Lançamentos - Artigos'!$L$2:$L$506,"&gt;0"))</f>
        <v>0</v>
      </c>
      <c r="H17" s="47">
        <f>IF($A17="","",SUMIFS('Lançamentos - Artigos'!$L$2:$L$506,'Lançamentos - Artigos'!$A$2:$A$506,$A17))</f>
        <v>0</v>
      </c>
      <c r="I17" s="47" t="str">
        <f t="shared" si="1"/>
        <v/>
      </c>
      <c r="J17" s="48" t="str">
        <f t="shared" si="2"/>
        <v>SEM ARTIGO VÁLIDO</v>
      </c>
      <c r="K17" s="46">
        <f>IF($A17="","",COUNTIFS('Destaques e PTTs'!$A$2:$A$501,$A17,'Destaques e PTTs'!$C$2:$C$501,"Destaque*",'Destaques e PTTs'!$W$2:$W$501,"OK"))</f>
        <v>0</v>
      </c>
      <c r="L17" s="46">
        <f>IF($A17="","",COUNTIFS('Destaques e PTTs'!$A$2:$A$501,$A17,'Destaques e PTTs'!$C$2:$C$501,"PTT adicional*",'Destaques e PTTs'!$W$2:$W$501,"OK"))</f>
        <v>0</v>
      </c>
      <c r="M17" s="46" t="str">
        <f>IF($A17="","",IF('Orientações'!$B$4="Profissional",IF(AND(K17=2,L17=3),"OK",IF(OR(K17&gt;2,L17&gt;3),"EXCEDE","PENDENTE")),IF(K17=2,"OK",IF(K17&gt;2,"EXCEDE","PENDENTE"))))</f>
        <v>PENDENTE</v>
      </c>
      <c r="N17" s="46" t="str">
        <f t="shared" si="3"/>
        <v>REVISAR</v>
      </c>
      <c r="O17" s="38"/>
    </row>
    <row r="18">
      <c r="A18" s="42" t="s">
        <v>309</v>
      </c>
      <c r="B18" s="53"/>
      <c r="C18" s="38"/>
      <c r="D18" s="44" t="s">
        <v>177</v>
      </c>
      <c r="E18" s="38"/>
      <c r="F18" s="38"/>
      <c r="G18" s="46">
        <f>IF($A18="","",COUNTIFS('Lançamentos - Artigos'!$A$2:$A$506,$A18,'Lançamentos - Artigos'!$L$2:$L$506,"&gt;0"))</f>
        <v>0</v>
      </c>
      <c r="H18" s="47">
        <f>IF($A18="","",SUMIFS('Lançamentos - Artigos'!$L$2:$L$506,'Lançamentos - Artigos'!$A$2:$A$506,$A18))</f>
        <v>0</v>
      </c>
      <c r="I18" s="47" t="str">
        <f t="shared" si="1"/>
        <v/>
      </c>
      <c r="J18" s="48" t="str">
        <f t="shared" si="2"/>
        <v>SEM ARTIGO VÁLIDO</v>
      </c>
      <c r="K18" s="46">
        <f>IF($A18="","",COUNTIFS('Destaques e PTTs'!$A$2:$A$501,$A18,'Destaques e PTTs'!$C$2:$C$501,"Destaque*",'Destaques e PTTs'!$W$2:$W$501,"OK"))</f>
        <v>0</v>
      </c>
      <c r="L18" s="46">
        <f>IF($A18="","",COUNTIFS('Destaques e PTTs'!$A$2:$A$501,$A18,'Destaques e PTTs'!$C$2:$C$501,"PTT adicional*",'Destaques e PTTs'!$W$2:$W$501,"OK"))</f>
        <v>0</v>
      </c>
      <c r="M18" s="46" t="str">
        <f>IF($A18="","",IF('Orientações'!$B$4="Profissional",IF(AND(K18=2,L18=3),"OK",IF(OR(K18&gt;2,L18&gt;3),"EXCEDE","PENDENTE")),IF(K18=2,"OK",IF(K18&gt;2,"EXCEDE","PENDENTE"))))</f>
        <v>PENDENTE</v>
      </c>
      <c r="N18" s="46" t="str">
        <f t="shared" si="3"/>
        <v>REVISAR</v>
      </c>
      <c r="O18" s="38"/>
    </row>
    <row r="19">
      <c r="A19" s="42" t="s">
        <v>316</v>
      </c>
      <c r="B19" s="43" t="s">
        <v>224</v>
      </c>
      <c r="C19" s="44" t="s">
        <v>176</v>
      </c>
      <c r="D19" s="44" t="s">
        <v>177</v>
      </c>
      <c r="E19" s="44">
        <v>14.0</v>
      </c>
      <c r="F19" s="44">
        <v>1.0</v>
      </c>
      <c r="G19" s="56"/>
      <c r="H19" s="47">
        <f>IF($A19="","",SUMIFS('Lançamentos - Artigos'!$L$2:$L$506,'Lançamentos - Artigos'!$A$2:$A$506,$A19))</f>
        <v>0</v>
      </c>
      <c r="I19" s="47" t="str">
        <f t="shared" si="1"/>
        <v/>
      </c>
      <c r="J19" s="48" t="str">
        <f t="shared" si="2"/>
        <v>SEM ARTIGO VÁLIDO</v>
      </c>
      <c r="K19" s="46">
        <f>IF($A19="","",COUNTIFS('Destaques e PTTs'!$A$2:$A$501,$A19,'Destaques e PTTs'!$C$2:$C$501,"Destaque*",'Destaques e PTTs'!$W$2:$W$501,"OK"))</f>
        <v>0</v>
      </c>
      <c r="L19" s="46">
        <f>IF($A19="","",COUNTIFS('Destaques e PTTs'!$A$2:$A$501,$A19,'Destaques e PTTs'!$C$2:$C$501,"PTT adicional*",'Destaques e PTTs'!$W$2:$W$501,"OK"))</f>
        <v>0</v>
      </c>
      <c r="M19" s="46" t="str">
        <f>IF($A19="","",IF('Orientações'!$B$4="Profissional",IF(AND(K19=2,L19=3),"OK",IF(OR(K19&gt;2,L19&gt;3),"EXCEDE","PENDENTE")),IF(K19=2,"OK",IF(K19&gt;2,"EXCEDE","PENDENTE"))))</f>
        <v>PENDENTE</v>
      </c>
      <c r="N19" s="46" t="str">
        <f t="shared" si="3"/>
        <v>REVISAR</v>
      </c>
      <c r="O19" s="38"/>
    </row>
    <row r="20">
      <c r="A20" s="42" t="s">
        <v>199</v>
      </c>
      <c r="B20" s="43" t="s">
        <v>224</v>
      </c>
      <c r="C20" s="44" t="s">
        <v>176</v>
      </c>
      <c r="D20" s="44" t="s">
        <v>177</v>
      </c>
      <c r="E20" s="44">
        <v>14.0</v>
      </c>
      <c r="F20" s="44">
        <v>1.0</v>
      </c>
      <c r="G20" s="46">
        <f>IF($A20="","",COUNTIFS('Lançamentos - Artigos'!$A$2:$A$506,$A20,'Lançamentos - Artigos'!$L$2:$L$506,"&gt;0"))</f>
        <v>7</v>
      </c>
      <c r="H20" s="47">
        <f>IF($A20="","",SUMIFS('Lançamentos - Artigos'!$L$2:$L$506,'Lançamentos - Artigos'!$A$2:$A$506,$A20))</f>
        <v>5</v>
      </c>
      <c r="I20" s="47">
        <f t="shared" si="1"/>
        <v>0.7142857143</v>
      </c>
      <c r="J20" s="48" t="str">
        <f t="shared" si="2"/>
        <v>REFERÊNCIA ATENDIDA</v>
      </c>
      <c r="K20" s="46">
        <f>IF($A20="","",COUNTIFS('Destaques e PTTs'!$A$2:$A$501,$A20,'Destaques e PTTs'!$C$2:$C$501,"Destaque*",'Destaques e PTTs'!$W$2:$W$501,"OK"))</f>
        <v>2</v>
      </c>
      <c r="L20" s="46">
        <f>IF($A20="","",COUNTIFS('Destaques e PTTs'!$A$2:$A$501,$A20,'Destaques e PTTs'!$C$2:$C$501,"PTT adicional*",'Destaques e PTTs'!$W$2:$W$501,"OK"))</f>
        <v>3</v>
      </c>
      <c r="M20" s="46" t="str">
        <f>IF($A20="","",IF('Orientações'!$B$4="Profissional",IF(AND(K20=2,L20=3),"OK",IF(OR(K20&gt;2,L20&gt;3),"EXCEDE","PENDENTE")),IF(K20=2,"OK",IF(K20&gt;2,"EXCEDE","PENDENTE"))))</f>
        <v>OK</v>
      </c>
      <c r="N20" s="46" t="str">
        <f t="shared" si="3"/>
        <v>OK</v>
      </c>
      <c r="O20" s="38"/>
    </row>
    <row r="21" ht="15.75" customHeight="1">
      <c r="A21" s="42" t="s">
        <v>339</v>
      </c>
      <c r="B21" s="53"/>
      <c r="C21" s="38"/>
      <c r="D21" s="44" t="s">
        <v>177</v>
      </c>
      <c r="E21" s="38"/>
      <c r="F21" s="38"/>
      <c r="G21" s="46">
        <f>IF($A21="","",COUNTIFS('Lançamentos - Artigos'!$A$2:$A$506,$A21,'Lançamentos - Artigos'!$L$2:$L$506,"&gt;0"))</f>
        <v>0</v>
      </c>
      <c r="H21" s="47">
        <f>IF($A21="","",SUMIFS('Lançamentos - Artigos'!$L$2:$L$506,'Lançamentos - Artigos'!$A$2:$A$506,$A21))</f>
        <v>0</v>
      </c>
      <c r="I21" s="47" t="str">
        <f t="shared" si="1"/>
        <v/>
      </c>
      <c r="J21" s="48" t="str">
        <f t="shared" si="2"/>
        <v>SEM ARTIGO VÁLIDO</v>
      </c>
      <c r="K21" s="46">
        <f>IF($A21="","",COUNTIFS('Destaques e PTTs'!$A$2:$A$501,$A21,'Destaques e PTTs'!$C$2:$C$501,"Destaque*",'Destaques e PTTs'!$W$2:$W$501,"OK"))</f>
        <v>0</v>
      </c>
      <c r="L21" s="46">
        <f>IF($A21="","",COUNTIFS('Destaques e PTTs'!$A$2:$A$501,$A21,'Destaques e PTTs'!$C$2:$C$501,"PTT adicional*",'Destaques e PTTs'!$W$2:$W$501,"OK"))</f>
        <v>0</v>
      </c>
      <c r="M21" s="46" t="str">
        <f>IF($A21="","",IF('Orientações'!$B$4="Profissional",IF(AND(K21=2,L21=3),"OK",IF(OR(K21&gt;2,L21&gt;3),"EXCEDE","PENDENTE")),IF(K21=2,"OK",IF(K21&gt;2,"EXCEDE","PENDENTE"))))</f>
        <v>PENDENTE</v>
      </c>
      <c r="N21" s="46" t="str">
        <f t="shared" si="3"/>
        <v>REVISAR</v>
      </c>
      <c r="O21" s="38"/>
    </row>
    <row r="22" ht="15.75" customHeight="1">
      <c r="A22" s="24" t="s">
        <v>313</v>
      </c>
      <c r="B22" s="24" t="s">
        <v>224</v>
      </c>
      <c r="C22" s="44" t="s">
        <v>176</v>
      </c>
      <c r="D22" s="44" t="s">
        <v>177</v>
      </c>
      <c r="E22" s="44">
        <v>14.0</v>
      </c>
      <c r="F22" s="44">
        <v>1.0</v>
      </c>
      <c r="G22" s="56">
        <v>0.0</v>
      </c>
      <c r="H22" s="47">
        <f>IF($A22="","",SUMIFS('Lançamentos - Artigos'!$L$2:$L$506,'Lançamentos - Artigos'!$A$2:$A$506,$A22))</f>
        <v>0</v>
      </c>
      <c r="I22" s="47" t="str">
        <f t="shared" si="1"/>
        <v/>
      </c>
      <c r="J22" s="48" t="str">
        <f t="shared" si="2"/>
        <v>SEM ARTIGO VÁLIDO</v>
      </c>
      <c r="K22" s="46">
        <f>IF($A22="","",COUNTIFS('Destaques e PTTs'!$A$2:$A$501,$A22,'Destaques e PTTs'!$C$2:$C$501,"Destaque*",'Destaques e PTTs'!$W$2:$W$501,"OK"))</f>
        <v>2</v>
      </c>
      <c r="L22" s="46">
        <f>IF($A22="","",COUNTIFS('Destaques e PTTs'!$A$2:$A$501,$A22,'Destaques e PTTs'!$C$2:$C$501,"PTT adicional*",'Destaques e PTTs'!$W$2:$W$501,"OK"))</f>
        <v>0</v>
      </c>
      <c r="M22" s="46" t="str">
        <f>IF($A22="","",IF('Orientações'!$B$4="Profissional",IF(AND(K22=2,L22=3),"OK",IF(OR(K22&gt;2,L22&gt;3),"EXCEDE","PENDENTE")),IF(K22=2,"OK",IF(K22&gt;2,"EXCEDE","PENDENTE"))))</f>
        <v>PENDENTE</v>
      </c>
      <c r="N22" s="46" t="str">
        <f t="shared" si="3"/>
        <v>REVISAR</v>
      </c>
      <c r="O22" s="38"/>
    </row>
    <row r="23" ht="15.75" customHeight="1">
      <c r="A23" s="24" t="s">
        <v>347</v>
      </c>
      <c r="B23" s="52"/>
      <c r="C23" s="38"/>
      <c r="D23" s="44" t="s">
        <v>177</v>
      </c>
      <c r="E23" s="38"/>
      <c r="F23" s="38"/>
      <c r="G23" s="46">
        <f>IF($A23="","",COUNTIFS('Lançamentos - Artigos'!$A$2:$A$506,$A23,'Lançamentos - Artigos'!$L$2:$L$506,"&gt;0"))</f>
        <v>0</v>
      </c>
      <c r="H23" s="47">
        <f>IF($A23="","",SUMIFS('Lançamentos - Artigos'!$L$2:$L$506,'Lançamentos - Artigos'!$A$2:$A$506,$A23))</f>
        <v>0</v>
      </c>
      <c r="I23" s="47" t="str">
        <f t="shared" si="1"/>
        <v/>
      </c>
      <c r="J23" s="48" t="str">
        <f t="shared" si="2"/>
        <v>SEM ARTIGO VÁLIDO</v>
      </c>
      <c r="K23" s="46">
        <f>IF($A23="","",COUNTIFS('Destaques e PTTs'!$A$2:$A$501,$A23,'Destaques e PTTs'!$C$2:$C$501,"Destaque*",'Destaques e PTTs'!$W$2:$W$501,"OK"))</f>
        <v>0</v>
      </c>
      <c r="L23" s="46">
        <f>IF($A23="","",COUNTIFS('Destaques e PTTs'!$A$2:$A$501,$A23,'Destaques e PTTs'!$C$2:$C$501,"PTT adicional*",'Destaques e PTTs'!$W$2:$W$501,"OK"))</f>
        <v>0</v>
      </c>
      <c r="M23" s="46" t="str">
        <f>IF($A23="","",IF('Orientações'!$B$4="Profissional",IF(AND(K23=2,L23=3),"OK",IF(OR(K23&gt;2,L23&gt;3),"EXCEDE","PENDENTE")),IF(K23=2,"OK",IF(K23&gt;2,"EXCEDE","PENDENTE"))))</f>
        <v>PENDENTE</v>
      </c>
      <c r="N23" s="46" t="str">
        <f t="shared" si="3"/>
        <v>REVISAR</v>
      </c>
      <c r="O23" s="38"/>
    </row>
    <row r="24" ht="15.75" customHeight="1">
      <c r="A24" s="24" t="s">
        <v>286</v>
      </c>
      <c r="B24" s="24" t="s">
        <v>224</v>
      </c>
      <c r="C24" s="44" t="s">
        <v>176</v>
      </c>
      <c r="D24" s="44" t="s">
        <v>177</v>
      </c>
      <c r="E24" s="44">
        <v>14.0</v>
      </c>
      <c r="F24" s="44">
        <v>1.0</v>
      </c>
      <c r="G24" s="46">
        <f>IF($A24="","",COUNTIFS('Lançamentos - Artigos'!$A$2:$A$506,$A24,'Lançamentos - Artigos'!$L$2:$L$506,"&gt;0"))</f>
        <v>0</v>
      </c>
      <c r="H24" s="47">
        <f>IF($A24="","",SUMIFS('Lançamentos - Artigos'!$L$2:$L$506,'Lançamentos - Artigos'!$A$2:$A$506,$A24))</f>
        <v>0</v>
      </c>
      <c r="I24" s="47" t="str">
        <f t="shared" si="1"/>
        <v/>
      </c>
      <c r="J24" s="48" t="str">
        <f t="shared" si="2"/>
        <v>SEM ARTIGO VÁLIDO</v>
      </c>
      <c r="K24" s="46">
        <f>IF($A24="","",COUNTIFS('Destaques e PTTs'!$A$2:$A$501,$A24,'Destaques e PTTs'!$C$2:$C$501,"Destaque*",'Destaques e PTTs'!$W$2:$W$501,"OK"))</f>
        <v>1</v>
      </c>
      <c r="L24" s="46">
        <f>IF($A24="","",COUNTIFS('Destaques e PTTs'!$A$2:$A$501,$A24,'Destaques e PTTs'!$C$2:$C$501,"PTT adicional*",'Destaques e PTTs'!$W$2:$W$501,"OK"))</f>
        <v>0</v>
      </c>
      <c r="M24" s="46" t="str">
        <f>IF($A24="","",IF('Orientações'!$B$4="Profissional",IF(AND(K24=2,L24=3),"OK",IF(OR(K24&gt;2,L24&gt;3),"EXCEDE","PENDENTE")),IF(K24=2,"OK",IF(K24&gt;2,"EXCEDE","PENDENTE"))))</f>
        <v>PENDENTE</v>
      </c>
      <c r="N24" s="46" t="str">
        <f t="shared" si="3"/>
        <v>REVISAR</v>
      </c>
      <c r="O24" s="38"/>
    </row>
    <row r="25" ht="15.75" customHeight="1">
      <c r="A25" s="38"/>
      <c r="B25" s="52"/>
      <c r="C25" s="38"/>
      <c r="D25" s="44" t="s">
        <v>177</v>
      </c>
      <c r="E25" s="38"/>
      <c r="F25" s="38"/>
      <c r="G25" s="46" t="str">
        <f>IF($A25="","",COUNTIFS('Lançamentos - Artigos'!$A$2:$A$506,$A25,'Lançamentos - Artigos'!$L$2:$L$506,"&gt;0"))</f>
        <v/>
      </c>
      <c r="H25" s="47" t="str">
        <f>IF($A25="","",SUMIFS('Lançamentos - Artigos'!$L$2:$L$506,'Lançamentos - Artigos'!$A$2:$A$506,$A25))</f>
        <v/>
      </c>
      <c r="I25" s="47" t="str">
        <f t="shared" si="1"/>
        <v/>
      </c>
      <c r="J25" s="48" t="str">
        <f t="shared" si="2"/>
        <v/>
      </c>
      <c r="K25" s="46" t="str">
        <f>IF($A25="","",COUNTIFS('Destaques e PTTs'!$A$2:$A$501,$A25,'Destaques e PTTs'!$C$2:$C$501,"Destaque*",'Destaques e PTTs'!$W$2:$W$501,"OK"))</f>
        <v/>
      </c>
      <c r="L25" s="46" t="str">
        <f>IF($A25="","",COUNTIFS('Destaques e PTTs'!$A$2:$A$501,$A25,'Destaques e PTTs'!$C$2:$C$501,"PTT adicional*",'Destaques e PTTs'!$W$2:$W$501,"OK"))</f>
        <v/>
      </c>
      <c r="M25" s="46" t="str">
        <f>IF($A25="","",IF('Orientações'!$B$4="Profissional",IF(AND(K25=2,L25=3),"OK",IF(OR(K25&gt;2,L25&gt;3),"EXCEDE","PENDENTE")),IF(K25=2,"OK",IF(K25&gt;2,"EXCEDE","PENDENTE"))))</f>
        <v/>
      </c>
      <c r="N25" s="46" t="str">
        <f t="shared" si="3"/>
        <v/>
      </c>
      <c r="O25" s="38"/>
    </row>
    <row r="26" ht="15.75" customHeight="1">
      <c r="A26" s="38"/>
      <c r="B26" s="52"/>
      <c r="C26" s="38"/>
      <c r="D26" s="44" t="s">
        <v>177</v>
      </c>
      <c r="E26" s="38"/>
      <c r="F26" s="38"/>
      <c r="G26" s="46" t="str">
        <f>IF($A26="","",COUNTIFS('Lançamentos - Artigos'!$A$2:$A$506,$A26,'Lançamentos - Artigos'!$L$2:$L$506,"&gt;0"))</f>
        <v/>
      </c>
      <c r="H26" s="47" t="str">
        <f>IF($A26="","",SUMIFS('Lançamentos - Artigos'!$L$2:$L$506,'Lançamentos - Artigos'!$A$2:$A$506,$A26))</f>
        <v/>
      </c>
      <c r="I26" s="47" t="str">
        <f t="shared" si="1"/>
        <v/>
      </c>
      <c r="J26" s="48" t="str">
        <f t="shared" si="2"/>
        <v/>
      </c>
      <c r="K26" s="46" t="str">
        <f>IF($A26="","",COUNTIFS('Destaques e PTTs'!$A$2:$A$501,$A26,'Destaques e PTTs'!$C$2:$C$501,"Destaque*",'Destaques e PTTs'!$W$2:$W$501,"OK"))</f>
        <v/>
      </c>
      <c r="L26" s="46" t="str">
        <f>IF($A26="","",COUNTIFS('Destaques e PTTs'!$A$2:$A$501,$A26,'Destaques e PTTs'!$C$2:$C$501,"PTT adicional*",'Destaques e PTTs'!$W$2:$W$501,"OK"))</f>
        <v/>
      </c>
      <c r="M26" s="46" t="str">
        <f>IF($A26="","",IF('Orientações'!$B$4="Profissional",IF(AND(K26=2,L26=3),"OK",IF(OR(K26&gt;2,L26&gt;3),"EXCEDE","PENDENTE")),IF(K26=2,"OK",IF(K26&gt;2,"EXCEDE","PENDENTE"))))</f>
        <v/>
      </c>
      <c r="N26" s="46" t="str">
        <f t="shared" si="3"/>
        <v/>
      </c>
      <c r="O26" s="38"/>
    </row>
    <row r="27" ht="15.75" customHeight="1">
      <c r="A27" s="38"/>
      <c r="B27" s="52"/>
      <c r="C27" s="38"/>
      <c r="D27" s="44" t="s">
        <v>177</v>
      </c>
      <c r="E27" s="38"/>
      <c r="F27" s="38"/>
      <c r="G27" s="46" t="str">
        <f>IF($A27="","",COUNTIFS('Lançamentos - Artigos'!$A$2:$A$506,$A27,'Lançamentos - Artigos'!$L$2:$L$506,"&gt;0"))</f>
        <v/>
      </c>
      <c r="H27" s="47" t="str">
        <f>IF($A27="","",SUMIFS('Lançamentos - Artigos'!$L$2:$L$506,'Lançamentos - Artigos'!$A$2:$A$506,$A27))</f>
        <v/>
      </c>
      <c r="I27" s="47" t="str">
        <f t="shared" si="1"/>
        <v/>
      </c>
      <c r="J27" s="48" t="str">
        <f t="shared" si="2"/>
        <v/>
      </c>
      <c r="K27" s="46" t="str">
        <f>IF($A27="","",COUNTIFS('Destaques e PTTs'!$A$2:$A$501,$A27,'Destaques e PTTs'!$C$2:$C$501,"Destaque*",'Destaques e PTTs'!$W$2:$W$501,"OK"))</f>
        <v/>
      </c>
      <c r="L27" s="46" t="str">
        <f>IF($A27="","",COUNTIFS('Destaques e PTTs'!$A$2:$A$501,$A27,'Destaques e PTTs'!$C$2:$C$501,"PTT adicional*",'Destaques e PTTs'!$W$2:$W$501,"OK"))</f>
        <v/>
      </c>
      <c r="M27" s="46" t="str">
        <f>IF($A27="","",IF('Orientações'!$B$4="Profissional",IF(AND(K27=2,L27=3),"OK",IF(OR(K27&gt;2,L27&gt;3),"EXCEDE","PENDENTE")),IF(K27=2,"OK",IF(K27&gt;2,"EXCEDE","PENDENTE"))))</f>
        <v/>
      </c>
      <c r="N27" s="46" t="str">
        <f t="shared" si="3"/>
        <v/>
      </c>
      <c r="O27" s="38"/>
    </row>
    <row r="28" ht="15.75" customHeight="1">
      <c r="A28" s="38"/>
      <c r="B28" s="52"/>
      <c r="C28" s="38"/>
      <c r="D28" s="44" t="s">
        <v>177</v>
      </c>
      <c r="E28" s="38"/>
      <c r="F28" s="38"/>
      <c r="G28" s="46" t="str">
        <f>IF($A28="","",COUNTIFS('Lançamentos - Artigos'!$A$2:$A$506,$A28,'Lançamentos - Artigos'!$L$2:$L$506,"&gt;0"))</f>
        <v/>
      </c>
      <c r="H28" s="47" t="str">
        <f>IF($A28="","",SUMIFS('Lançamentos - Artigos'!$L$2:$L$506,'Lançamentos - Artigos'!$A$2:$A$506,$A28))</f>
        <v/>
      </c>
      <c r="I28" s="47" t="str">
        <f t="shared" si="1"/>
        <v/>
      </c>
      <c r="J28" s="48" t="str">
        <f t="shared" si="2"/>
        <v/>
      </c>
      <c r="K28" s="46" t="str">
        <f>IF($A28="","",COUNTIFS('Destaques e PTTs'!$A$2:$A$501,$A28,'Destaques e PTTs'!$C$2:$C$501,"Destaque*",'Destaques e PTTs'!$W$2:$W$501,"OK"))</f>
        <v/>
      </c>
      <c r="L28" s="46" t="str">
        <f>IF($A28="","",COUNTIFS('Destaques e PTTs'!$A$2:$A$501,$A28,'Destaques e PTTs'!$C$2:$C$501,"PTT adicional*",'Destaques e PTTs'!$W$2:$W$501,"OK"))</f>
        <v/>
      </c>
      <c r="M28" s="46" t="str">
        <f>IF($A28="","",IF('Orientações'!$B$4="Profissional",IF(AND(K28=2,L28=3),"OK",IF(OR(K28&gt;2,L28&gt;3),"EXCEDE","PENDENTE")),IF(K28=2,"OK",IF(K28&gt;2,"EXCEDE","PENDENTE"))))</f>
        <v/>
      </c>
      <c r="N28" s="46" t="str">
        <f t="shared" si="3"/>
        <v/>
      </c>
      <c r="O28" s="38"/>
    </row>
    <row r="29" ht="15.75" customHeight="1">
      <c r="A29" s="38"/>
      <c r="B29" s="52"/>
      <c r="C29" s="38"/>
      <c r="D29" s="44" t="s">
        <v>177</v>
      </c>
      <c r="E29" s="38"/>
      <c r="F29" s="38"/>
      <c r="G29" s="46" t="str">
        <f>IF($A29="","",COUNTIFS('Lançamentos - Artigos'!$A$2:$A$506,$A29,'Lançamentos - Artigos'!$L$2:$L$506,"&gt;0"))</f>
        <v/>
      </c>
      <c r="H29" s="47" t="str">
        <f>IF($A29="","",SUMIFS('Lançamentos - Artigos'!$L$2:$L$506,'Lançamentos - Artigos'!$A$2:$A$506,$A29))</f>
        <v/>
      </c>
      <c r="I29" s="47" t="str">
        <f t="shared" si="1"/>
        <v/>
      </c>
      <c r="J29" s="48" t="str">
        <f t="shared" si="2"/>
        <v/>
      </c>
      <c r="K29" s="46" t="str">
        <f>IF($A29="","",COUNTIFS('Destaques e PTTs'!$A$2:$A$501,$A29,'Destaques e PTTs'!$C$2:$C$501,"Destaque*",'Destaques e PTTs'!$W$2:$W$501,"OK"))</f>
        <v/>
      </c>
      <c r="L29" s="46" t="str">
        <f>IF($A29="","",COUNTIFS('Destaques e PTTs'!$A$2:$A$501,$A29,'Destaques e PTTs'!$C$2:$C$501,"PTT adicional*",'Destaques e PTTs'!$W$2:$W$501,"OK"))</f>
        <v/>
      </c>
      <c r="M29" s="46" t="str">
        <f>IF($A29="","",IF('Orientações'!$B$4="Profissional",IF(AND(K29=2,L29=3),"OK",IF(OR(K29&gt;2,L29&gt;3),"EXCEDE","PENDENTE")),IF(K29=2,"OK",IF(K29&gt;2,"EXCEDE","PENDENTE"))))</f>
        <v/>
      </c>
      <c r="N29" s="46" t="str">
        <f t="shared" si="3"/>
        <v/>
      </c>
      <c r="O29" s="38"/>
    </row>
    <row r="30" ht="15.75" customHeight="1">
      <c r="A30" s="38"/>
      <c r="B30" s="52"/>
      <c r="C30" s="38"/>
      <c r="D30" s="44" t="s">
        <v>177</v>
      </c>
      <c r="E30" s="38"/>
      <c r="F30" s="38"/>
      <c r="G30" s="46" t="str">
        <f>IF($A30="","",COUNTIFS('Lançamentos - Artigos'!$A$2:$A$506,$A30,'Lançamentos - Artigos'!$L$2:$L$506,"&gt;0"))</f>
        <v/>
      </c>
      <c r="H30" s="47" t="str">
        <f>IF($A30="","",SUMIFS('Lançamentos - Artigos'!$L$2:$L$506,'Lançamentos - Artigos'!$A$2:$A$506,$A30))</f>
        <v/>
      </c>
      <c r="I30" s="47" t="str">
        <f t="shared" si="1"/>
        <v/>
      </c>
      <c r="J30" s="48" t="str">
        <f t="shared" si="2"/>
        <v/>
      </c>
      <c r="K30" s="46" t="str">
        <f>IF($A30="","",COUNTIFS('Destaques e PTTs'!$A$2:$A$501,$A30,'Destaques e PTTs'!$C$2:$C$501,"Destaque*",'Destaques e PTTs'!$W$2:$W$501,"OK"))</f>
        <v/>
      </c>
      <c r="L30" s="46" t="str">
        <f>IF($A30="","",COUNTIFS('Destaques e PTTs'!$A$2:$A$501,$A30,'Destaques e PTTs'!$C$2:$C$501,"PTT adicional*",'Destaques e PTTs'!$W$2:$W$501,"OK"))</f>
        <v/>
      </c>
      <c r="M30" s="46" t="str">
        <f>IF($A30="","",IF('Orientações'!$B$4="Profissional",IF(AND(K30=2,L30=3),"OK",IF(OR(K30&gt;2,L30&gt;3),"EXCEDE","PENDENTE")),IF(K30=2,"OK",IF(K30&gt;2,"EXCEDE","PENDENTE"))))</f>
        <v/>
      </c>
      <c r="N30" s="46" t="str">
        <f t="shared" si="3"/>
        <v/>
      </c>
      <c r="O30" s="38"/>
    </row>
    <row r="31" ht="15.75" customHeight="1">
      <c r="A31" s="38"/>
      <c r="B31" s="52"/>
      <c r="C31" s="38"/>
      <c r="D31" s="44" t="s">
        <v>177</v>
      </c>
      <c r="E31" s="38"/>
      <c r="F31" s="38"/>
      <c r="G31" s="46" t="str">
        <f>IF($A31="","",COUNTIFS('Lançamentos - Artigos'!$A$2:$A$506,$A31,'Lançamentos - Artigos'!$L$2:$L$506,"&gt;0"))</f>
        <v/>
      </c>
      <c r="H31" s="47" t="str">
        <f>IF($A31="","",SUMIFS('Lançamentos - Artigos'!$L$2:$L$506,'Lançamentos - Artigos'!$A$2:$A$506,$A31))</f>
        <v/>
      </c>
      <c r="I31" s="47" t="str">
        <f t="shared" si="1"/>
        <v/>
      </c>
      <c r="J31" s="48" t="str">
        <f t="shared" si="2"/>
        <v/>
      </c>
      <c r="K31" s="46" t="str">
        <f>IF($A31="","",COUNTIFS('Destaques e PTTs'!$A$2:$A$501,$A31,'Destaques e PTTs'!$C$2:$C$501,"Destaque*",'Destaques e PTTs'!$W$2:$W$501,"OK"))</f>
        <v/>
      </c>
      <c r="L31" s="46" t="str">
        <f>IF($A31="","",COUNTIFS('Destaques e PTTs'!$A$2:$A$501,$A31,'Destaques e PTTs'!$C$2:$C$501,"PTT adicional*",'Destaques e PTTs'!$W$2:$W$501,"OK"))</f>
        <v/>
      </c>
      <c r="M31" s="46" t="str">
        <f>IF($A31="","",IF('Orientações'!$B$4="Profissional",IF(AND(K31=2,L31=3),"OK",IF(OR(K31&gt;2,L31&gt;3),"EXCEDE","PENDENTE")),IF(K31=2,"OK",IF(K31&gt;2,"EXCEDE","PENDENTE"))))</f>
        <v/>
      </c>
      <c r="N31" s="46" t="str">
        <f t="shared" si="3"/>
        <v/>
      </c>
      <c r="O31" s="38"/>
    </row>
    <row r="32" ht="15.75" customHeight="1">
      <c r="A32" s="38"/>
      <c r="B32" s="52"/>
      <c r="C32" s="38"/>
      <c r="D32" s="44" t="s">
        <v>177</v>
      </c>
      <c r="E32" s="38"/>
      <c r="F32" s="38"/>
      <c r="G32" s="46" t="str">
        <f>IF($A32="","",COUNTIFS('Lançamentos - Artigos'!$A$2:$A$506,$A32,'Lançamentos - Artigos'!$L$2:$L$506,"&gt;0"))</f>
        <v/>
      </c>
      <c r="H32" s="47" t="str">
        <f>IF($A32="","",SUMIFS('Lançamentos - Artigos'!$L$2:$L$506,'Lançamentos - Artigos'!$A$2:$A$506,$A32))</f>
        <v/>
      </c>
      <c r="I32" s="47" t="str">
        <f t="shared" si="1"/>
        <v/>
      </c>
      <c r="J32" s="48" t="str">
        <f t="shared" si="2"/>
        <v/>
      </c>
      <c r="K32" s="46" t="str">
        <f>IF($A32="","",COUNTIFS('Destaques e PTTs'!$A$2:$A$501,$A32,'Destaques e PTTs'!$C$2:$C$501,"Destaque*",'Destaques e PTTs'!$W$2:$W$501,"OK"))</f>
        <v/>
      </c>
      <c r="L32" s="46" t="str">
        <f>IF($A32="","",COUNTIFS('Destaques e PTTs'!$A$2:$A$501,$A32,'Destaques e PTTs'!$C$2:$C$501,"PTT adicional*",'Destaques e PTTs'!$W$2:$W$501,"OK"))</f>
        <v/>
      </c>
      <c r="M32" s="46" t="str">
        <f>IF($A32="","",IF('Orientações'!$B$4="Profissional",IF(AND(K32=2,L32=3),"OK",IF(OR(K32&gt;2,L32&gt;3),"EXCEDE","PENDENTE")),IF(K32=2,"OK",IF(K32&gt;2,"EXCEDE","PENDENTE"))))</f>
        <v/>
      </c>
      <c r="N32" s="46" t="str">
        <f t="shared" si="3"/>
        <v/>
      </c>
      <c r="O32" s="38"/>
    </row>
    <row r="33" ht="15.75" customHeight="1">
      <c r="A33" s="38"/>
      <c r="B33" s="52"/>
      <c r="C33" s="38"/>
      <c r="D33" s="44" t="s">
        <v>177</v>
      </c>
      <c r="E33" s="38"/>
      <c r="F33" s="38"/>
      <c r="G33" s="46" t="str">
        <f>IF($A33="","",COUNTIFS('Lançamentos - Artigos'!$A$2:$A$506,$A33,'Lançamentos - Artigos'!$L$2:$L$506,"&gt;0"))</f>
        <v/>
      </c>
      <c r="H33" s="47" t="str">
        <f>IF($A33="","",SUMIFS('Lançamentos - Artigos'!$L$2:$L$506,'Lançamentos - Artigos'!$A$2:$A$506,$A33))</f>
        <v/>
      </c>
      <c r="I33" s="47" t="str">
        <f t="shared" si="1"/>
        <v/>
      </c>
      <c r="J33" s="48" t="str">
        <f t="shared" si="2"/>
        <v/>
      </c>
      <c r="K33" s="46" t="str">
        <f>IF($A33="","",COUNTIFS('Destaques e PTTs'!$A$2:$A$501,$A33,'Destaques e PTTs'!$C$2:$C$501,"Destaque*",'Destaques e PTTs'!$W$2:$W$501,"OK"))</f>
        <v/>
      </c>
      <c r="L33" s="46" t="str">
        <f>IF($A33="","",COUNTIFS('Destaques e PTTs'!$A$2:$A$501,$A33,'Destaques e PTTs'!$C$2:$C$501,"PTT adicional*",'Destaques e PTTs'!$W$2:$W$501,"OK"))</f>
        <v/>
      </c>
      <c r="M33" s="46" t="str">
        <f>IF($A33="","",IF('Orientações'!$B$4="Profissional",IF(AND(K33=2,L33=3),"OK",IF(OR(K33&gt;2,L33&gt;3),"EXCEDE","PENDENTE")),IF(K33=2,"OK",IF(K33&gt;2,"EXCEDE","PENDENTE"))))</f>
        <v/>
      </c>
      <c r="N33" s="46" t="str">
        <f t="shared" si="3"/>
        <v/>
      </c>
      <c r="O33" s="38"/>
    </row>
    <row r="34" ht="15.75" customHeight="1">
      <c r="A34" s="38"/>
      <c r="B34" s="52"/>
      <c r="C34" s="38"/>
      <c r="D34" s="44" t="s">
        <v>177</v>
      </c>
      <c r="E34" s="38"/>
      <c r="F34" s="38"/>
      <c r="G34" s="46" t="str">
        <f>IF($A34="","",COUNTIFS('Lançamentos - Artigos'!$A$2:$A$506,$A34,'Lançamentos - Artigos'!$L$2:$L$506,"&gt;0"))</f>
        <v/>
      </c>
      <c r="H34" s="47" t="str">
        <f>IF($A34="","",SUMIFS('Lançamentos - Artigos'!$L$2:$L$506,'Lançamentos - Artigos'!$A$2:$A$506,$A34))</f>
        <v/>
      </c>
      <c r="I34" s="47" t="str">
        <f t="shared" si="1"/>
        <v/>
      </c>
      <c r="J34" s="48" t="str">
        <f t="shared" si="2"/>
        <v/>
      </c>
      <c r="K34" s="46" t="str">
        <f>IF($A34="","",COUNTIFS('Destaques e PTTs'!$A$2:$A$501,$A34,'Destaques e PTTs'!$C$2:$C$501,"Destaque*",'Destaques e PTTs'!$W$2:$W$501,"OK"))</f>
        <v/>
      </c>
      <c r="L34" s="46" t="str">
        <f>IF($A34="","",COUNTIFS('Destaques e PTTs'!$A$2:$A$501,$A34,'Destaques e PTTs'!$C$2:$C$501,"PTT adicional*",'Destaques e PTTs'!$W$2:$W$501,"OK"))</f>
        <v/>
      </c>
      <c r="M34" s="46" t="str">
        <f>IF($A34="","",IF('Orientações'!$B$4="Profissional",IF(AND(K34=2,L34=3),"OK",IF(OR(K34&gt;2,L34&gt;3),"EXCEDE","PENDENTE")),IF(K34=2,"OK",IF(K34&gt;2,"EXCEDE","PENDENTE"))))</f>
        <v/>
      </c>
      <c r="N34" s="46" t="str">
        <f t="shared" si="3"/>
        <v/>
      </c>
      <c r="O34" s="38"/>
    </row>
    <row r="35" ht="15.75" customHeight="1">
      <c r="A35" s="38"/>
      <c r="B35" s="52"/>
      <c r="C35" s="38"/>
      <c r="D35" s="44" t="s">
        <v>177</v>
      </c>
      <c r="E35" s="38"/>
      <c r="F35" s="38"/>
      <c r="G35" s="46" t="str">
        <f>IF($A35="","",COUNTIFS('Lançamentos - Artigos'!$A$2:$A$506,$A35,'Lançamentos - Artigos'!$L$2:$L$506,"&gt;0"))</f>
        <v/>
      </c>
      <c r="H35" s="47" t="str">
        <f>IF($A35="","",SUMIFS('Lançamentos - Artigos'!$L$2:$L$506,'Lançamentos - Artigos'!$A$2:$A$506,$A35))</f>
        <v/>
      </c>
      <c r="I35" s="47" t="str">
        <f t="shared" si="1"/>
        <v/>
      </c>
      <c r="J35" s="48" t="str">
        <f t="shared" si="2"/>
        <v/>
      </c>
      <c r="K35" s="46" t="str">
        <f>IF($A35="","",COUNTIFS('Destaques e PTTs'!$A$2:$A$501,$A35,'Destaques e PTTs'!$C$2:$C$501,"Destaque*",'Destaques e PTTs'!$W$2:$W$501,"OK"))</f>
        <v/>
      </c>
      <c r="L35" s="46" t="str">
        <f>IF($A35="","",COUNTIFS('Destaques e PTTs'!$A$2:$A$501,$A35,'Destaques e PTTs'!$C$2:$C$501,"PTT adicional*",'Destaques e PTTs'!$W$2:$W$501,"OK"))</f>
        <v/>
      </c>
      <c r="M35" s="46" t="str">
        <f>IF($A35="","",IF('Orientações'!$B$4="Profissional",IF(AND(K35=2,L35=3),"OK",IF(OR(K35&gt;2,L35&gt;3),"EXCEDE","PENDENTE")),IF(K35=2,"OK",IF(K35&gt;2,"EXCEDE","PENDENTE"))))</f>
        <v/>
      </c>
      <c r="N35" s="46" t="str">
        <f t="shared" si="3"/>
        <v/>
      </c>
      <c r="O35" s="38"/>
    </row>
    <row r="36" ht="15.75" customHeight="1">
      <c r="A36" s="38"/>
      <c r="B36" s="52"/>
      <c r="C36" s="38"/>
      <c r="D36" s="44" t="s">
        <v>177</v>
      </c>
      <c r="E36" s="38"/>
      <c r="F36" s="38"/>
      <c r="G36" s="46" t="str">
        <f>IF($A36="","",COUNTIFS('Lançamentos - Artigos'!$A$2:$A$506,$A36,'Lançamentos - Artigos'!$L$2:$L$506,"&gt;0"))</f>
        <v/>
      </c>
      <c r="H36" s="47" t="str">
        <f>IF($A36="","",SUMIFS('Lançamentos - Artigos'!$L$2:$L$506,'Lançamentos - Artigos'!$A$2:$A$506,$A36))</f>
        <v/>
      </c>
      <c r="I36" s="47" t="str">
        <f t="shared" si="1"/>
        <v/>
      </c>
      <c r="J36" s="48" t="str">
        <f t="shared" si="2"/>
        <v/>
      </c>
      <c r="K36" s="46" t="str">
        <f>IF($A36="","",COUNTIFS('Destaques e PTTs'!$A$2:$A$501,$A36,'Destaques e PTTs'!$C$2:$C$501,"Destaque*",'Destaques e PTTs'!$W$2:$W$501,"OK"))</f>
        <v/>
      </c>
      <c r="L36" s="46" t="str">
        <f>IF($A36="","",COUNTIFS('Destaques e PTTs'!$A$2:$A$501,$A36,'Destaques e PTTs'!$C$2:$C$501,"PTT adicional*",'Destaques e PTTs'!$W$2:$W$501,"OK"))</f>
        <v/>
      </c>
      <c r="M36" s="46" t="str">
        <f>IF($A36="","",IF('Orientações'!$B$4="Profissional",IF(AND(K36=2,L36=3),"OK",IF(OR(K36&gt;2,L36&gt;3),"EXCEDE","PENDENTE")),IF(K36=2,"OK",IF(K36&gt;2,"EXCEDE","PENDENTE"))))</f>
        <v/>
      </c>
      <c r="N36" s="46" t="str">
        <f t="shared" si="3"/>
        <v/>
      </c>
      <c r="O36" s="38"/>
    </row>
    <row r="37" ht="15.75" customHeight="1">
      <c r="A37" s="38"/>
      <c r="B37" s="52"/>
      <c r="C37" s="38"/>
      <c r="D37" s="44" t="s">
        <v>177</v>
      </c>
      <c r="E37" s="38"/>
      <c r="F37" s="38"/>
      <c r="G37" s="46" t="str">
        <f>IF($A37="","",COUNTIFS('Lançamentos - Artigos'!$A$2:$A$506,$A37,'Lançamentos - Artigos'!$L$2:$L$506,"&gt;0"))</f>
        <v/>
      </c>
      <c r="H37" s="47" t="str">
        <f>IF($A37="","",SUMIFS('Lançamentos - Artigos'!$L$2:$L$506,'Lançamentos - Artigos'!$A$2:$A$506,$A37))</f>
        <v/>
      </c>
      <c r="I37" s="47" t="str">
        <f t="shared" si="1"/>
        <v/>
      </c>
      <c r="J37" s="48" t="str">
        <f t="shared" si="2"/>
        <v/>
      </c>
      <c r="K37" s="46" t="str">
        <f>IF($A37="","",COUNTIFS('Destaques e PTTs'!$A$2:$A$501,$A37,'Destaques e PTTs'!$C$2:$C$501,"Destaque*",'Destaques e PTTs'!$W$2:$W$501,"OK"))</f>
        <v/>
      </c>
      <c r="L37" s="46" t="str">
        <f>IF($A37="","",COUNTIFS('Destaques e PTTs'!$A$2:$A$501,$A37,'Destaques e PTTs'!$C$2:$C$501,"PTT adicional*",'Destaques e PTTs'!$W$2:$W$501,"OK"))</f>
        <v/>
      </c>
      <c r="M37" s="46" t="str">
        <f>IF($A37="","",IF('Orientações'!$B$4="Profissional",IF(AND(K37=2,L37=3),"OK",IF(OR(K37&gt;2,L37&gt;3),"EXCEDE","PENDENTE")),IF(K37=2,"OK",IF(K37&gt;2,"EXCEDE","PENDENTE"))))</f>
        <v/>
      </c>
      <c r="N37" s="46" t="str">
        <f t="shared" si="3"/>
        <v/>
      </c>
      <c r="O37" s="38"/>
    </row>
    <row r="38" ht="15.75" customHeight="1">
      <c r="A38" s="38"/>
      <c r="B38" s="52"/>
      <c r="C38" s="38"/>
      <c r="D38" s="44" t="s">
        <v>177</v>
      </c>
      <c r="E38" s="38"/>
      <c r="F38" s="38"/>
      <c r="G38" s="46" t="str">
        <f>IF($A38="","",COUNTIFS('Lançamentos - Artigos'!$A$2:$A$506,$A38,'Lançamentos - Artigos'!$L$2:$L$506,"&gt;0"))</f>
        <v/>
      </c>
      <c r="H38" s="47" t="str">
        <f>IF($A38="","",SUMIFS('Lançamentos - Artigos'!$L$2:$L$506,'Lançamentos - Artigos'!$A$2:$A$506,$A38))</f>
        <v/>
      </c>
      <c r="I38" s="47" t="str">
        <f t="shared" si="1"/>
        <v/>
      </c>
      <c r="J38" s="48" t="str">
        <f t="shared" si="2"/>
        <v/>
      </c>
      <c r="K38" s="46" t="str">
        <f>IF($A38="","",COUNTIFS('Destaques e PTTs'!$A$2:$A$501,$A38,'Destaques e PTTs'!$C$2:$C$501,"Destaque*",'Destaques e PTTs'!$W$2:$W$501,"OK"))</f>
        <v/>
      </c>
      <c r="L38" s="46" t="str">
        <f>IF($A38="","",COUNTIFS('Destaques e PTTs'!$A$2:$A$501,$A38,'Destaques e PTTs'!$C$2:$C$501,"PTT adicional*",'Destaques e PTTs'!$W$2:$W$501,"OK"))</f>
        <v/>
      </c>
      <c r="M38" s="46" t="str">
        <f>IF($A38="","",IF('Orientações'!$B$4="Profissional",IF(AND(K38=2,L38=3),"OK",IF(OR(K38&gt;2,L38&gt;3),"EXCEDE","PENDENTE")),IF(K38=2,"OK",IF(K38&gt;2,"EXCEDE","PENDENTE"))))</f>
        <v/>
      </c>
      <c r="N38" s="46" t="str">
        <f t="shared" si="3"/>
        <v/>
      </c>
      <c r="O38" s="38"/>
    </row>
    <row r="39" ht="15.75" customHeight="1">
      <c r="A39" s="38"/>
      <c r="B39" s="52"/>
      <c r="C39" s="38"/>
      <c r="D39" s="44" t="s">
        <v>177</v>
      </c>
      <c r="E39" s="38"/>
      <c r="F39" s="38"/>
      <c r="G39" s="46" t="str">
        <f>IF($A39="","",COUNTIFS('Lançamentos - Artigos'!$A$2:$A$506,$A39,'Lançamentos - Artigos'!$L$2:$L$506,"&gt;0"))</f>
        <v/>
      </c>
      <c r="H39" s="47" t="str">
        <f>IF($A39="","",SUMIFS('Lançamentos - Artigos'!$L$2:$L$506,'Lançamentos - Artigos'!$A$2:$A$506,$A39))</f>
        <v/>
      </c>
      <c r="I39" s="47" t="str">
        <f t="shared" si="1"/>
        <v/>
      </c>
      <c r="J39" s="48" t="str">
        <f t="shared" si="2"/>
        <v/>
      </c>
      <c r="K39" s="46" t="str">
        <f>IF($A39="","",COUNTIFS('Destaques e PTTs'!$A$2:$A$501,$A39,'Destaques e PTTs'!$C$2:$C$501,"Destaque*",'Destaques e PTTs'!$W$2:$W$501,"OK"))</f>
        <v/>
      </c>
      <c r="L39" s="46" t="str">
        <f>IF($A39="","",COUNTIFS('Destaques e PTTs'!$A$2:$A$501,$A39,'Destaques e PTTs'!$C$2:$C$501,"PTT adicional*",'Destaques e PTTs'!$W$2:$W$501,"OK"))</f>
        <v/>
      </c>
      <c r="M39" s="46" t="str">
        <f>IF($A39="","",IF('Orientações'!$B$4="Profissional",IF(AND(K39=2,L39=3),"OK",IF(OR(K39&gt;2,L39&gt;3),"EXCEDE","PENDENTE")),IF(K39=2,"OK",IF(K39&gt;2,"EXCEDE","PENDENTE"))))</f>
        <v/>
      </c>
      <c r="N39" s="46" t="str">
        <f t="shared" si="3"/>
        <v/>
      </c>
      <c r="O39" s="38"/>
    </row>
    <row r="40" ht="15.75" customHeight="1">
      <c r="A40" s="38"/>
      <c r="B40" s="52"/>
      <c r="C40" s="38"/>
      <c r="D40" s="44" t="s">
        <v>177</v>
      </c>
      <c r="E40" s="38"/>
      <c r="F40" s="38"/>
      <c r="G40" s="46" t="str">
        <f>IF($A40="","",COUNTIFS('Lançamentos - Artigos'!$A$2:$A$506,$A40,'Lançamentos - Artigos'!$L$2:$L$506,"&gt;0"))</f>
        <v/>
      </c>
      <c r="H40" s="47" t="str">
        <f>IF($A40="","",SUMIFS('Lançamentos - Artigos'!$L$2:$L$506,'Lançamentos - Artigos'!$A$2:$A$506,$A40))</f>
        <v/>
      </c>
      <c r="I40" s="47" t="str">
        <f t="shared" si="1"/>
        <v/>
      </c>
      <c r="J40" s="48" t="str">
        <f t="shared" si="2"/>
        <v/>
      </c>
      <c r="K40" s="46" t="str">
        <f>IF($A40="","",COUNTIFS('Destaques e PTTs'!$A$2:$A$501,$A40,'Destaques e PTTs'!$C$2:$C$501,"Destaque*",'Destaques e PTTs'!$W$2:$W$501,"OK"))</f>
        <v/>
      </c>
      <c r="L40" s="46" t="str">
        <f>IF($A40="","",COUNTIFS('Destaques e PTTs'!$A$2:$A$501,$A40,'Destaques e PTTs'!$C$2:$C$501,"PTT adicional*",'Destaques e PTTs'!$W$2:$W$501,"OK"))</f>
        <v/>
      </c>
      <c r="M40" s="46" t="str">
        <f>IF($A40="","",IF('Orientações'!$B$4="Profissional",IF(AND(K40=2,L40=3),"OK",IF(OR(K40&gt;2,L40&gt;3),"EXCEDE","PENDENTE")),IF(K40=2,"OK",IF(K40&gt;2,"EXCEDE","PENDENTE"))))</f>
        <v/>
      </c>
      <c r="N40" s="46" t="str">
        <f t="shared" si="3"/>
        <v/>
      </c>
      <c r="O40" s="38"/>
    </row>
    <row r="41" ht="15.75" customHeight="1">
      <c r="A41" s="38"/>
      <c r="B41" s="52"/>
      <c r="C41" s="38"/>
      <c r="D41" s="44" t="s">
        <v>177</v>
      </c>
      <c r="E41" s="38"/>
      <c r="F41" s="38"/>
      <c r="G41" s="46" t="str">
        <f>IF($A41="","",COUNTIFS('Lançamentos - Artigos'!$A$2:$A$506,$A41,'Lançamentos - Artigos'!$L$2:$L$506,"&gt;0"))</f>
        <v/>
      </c>
      <c r="H41" s="47" t="str">
        <f>IF($A41="","",SUMIFS('Lançamentos - Artigos'!$L$2:$L$506,'Lançamentos - Artigos'!$A$2:$A$506,$A41))</f>
        <v/>
      </c>
      <c r="I41" s="47" t="str">
        <f t="shared" si="1"/>
        <v/>
      </c>
      <c r="J41" s="48" t="str">
        <f t="shared" si="2"/>
        <v/>
      </c>
      <c r="K41" s="46" t="str">
        <f>IF($A41="","",COUNTIFS('Destaques e PTTs'!$A$2:$A$501,$A41,'Destaques e PTTs'!$C$2:$C$501,"Destaque*",'Destaques e PTTs'!$W$2:$W$501,"OK"))</f>
        <v/>
      </c>
      <c r="L41" s="46" t="str">
        <f>IF($A41="","",COUNTIFS('Destaques e PTTs'!$A$2:$A$501,$A41,'Destaques e PTTs'!$C$2:$C$501,"PTT adicional*",'Destaques e PTTs'!$W$2:$W$501,"OK"))</f>
        <v/>
      </c>
      <c r="M41" s="46" t="str">
        <f>IF($A41="","",IF('Orientações'!$B$4="Profissional",IF(AND(K41=2,L41=3),"OK",IF(OR(K41&gt;2,L41&gt;3),"EXCEDE","PENDENTE")),IF(K41=2,"OK",IF(K41&gt;2,"EXCEDE","PENDENTE"))))</f>
        <v/>
      </c>
      <c r="N41" s="46" t="str">
        <f t="shared" si="3"/>
        <v/>
      </c>
      <c r="O41" s="38"/>
    </row>
    <row r="42" ht="15.75" customHeight="1">
      <c r="A42" s="38"/>
      <c r="B42" s="52"/>
      <c r="C42" s="38"/>
      <c r="D42" s="44" t="s">
        <v>177</v>
      </c>
      <c r="E42" s="38"/>
      <c r="F42" s="38"/>
      <c r="G42" s="46" t="str">
        <f>IF($A42="","",COUNTIFS('Lançamentos - Artigos'!$A$2:$A$506,$A42,'Lançamentos - Artigos'!$L$2:$L$506,"&gt;0"))</f>
        <v/>
      </c>
      <c r="H42" s="47" t="str">
        <f>IF($A42="","",SUMIFS('Lançamentos - Artigos'!$L$2:$L$506,'Lançamentos - Artigos'!$A$2:$A$506,$A42))</f>
        <v/>
      </c>
      <c r="I42" s="47" t="str">
        <f t="shared" si="1"/>
        <v/>
      </c>
      <c r="J42" s="48" t="str">
        <f t="shared" si="2"/>
        <v/>
      </c>
      <c r="K42" s="46" t="str">
        <f>IF($A42="","",COUNTIFS('Destaques e PTTs'!$A$2:$A$501,$A42,'Destaques e PTTs'!$C$2:$C$501,"Destaque*",'Destaques e PTTs'!$W$2:$W$501,"OK"))</f>
        <v/>
      </c>
      <c r="L42" s="46" t="str">
        <f>IF($A42="","",COUNTIFS('Destaques e PTTs'!$A$2:$A$501,$A42,'Destaques e PTTs'!$C$2:$C$501,"PTT adicional*",'Destaques e PTTs'!$W$2:$W$501,"OK"))</f>
        <v/>
      </c>
      <c r="M42" s="46" t="str">
        <f>IF($A42="","",IF('Orientações'!$B$4="Profissional",IF(AND(K42=2,L42=3),"OK",IF(OR(K42&gt;2,L42&gt;3),"EXCEDE","PENDENTE")),IF(K42=2,"OK",IF(K42&gt;2,"EXCEDE","PENDENTE"))))</f>
        <v/>
      </c>
      <c r="N42" s="46" t="str">
        <f t="shared" si="3"/>
        <v/>
      </c>
      <c r="O42" s="38"/>
    </row>
    <row r="43" ht="15.75" customHeight="1">
      <c r="A43" s="38"/>
      <c r="B43" s="52"/>
      <c r="C43" s="38"/>
      <c r="D43" s="44" t="s">
        <v>177</v>
      </c>
      <c r="E43" s="38"/>
      <c r="F43" s="38"/>
      <c r="G43" s="46" t="str">
        <f>IF($A43="","",COUNTIFS('Lançamentos - Artigos'!$A$2:$A$506,$A43,'Lançamentos - Artigos'!$L$2:$L$506,"&gt;0"))</f>
        <v/>
      </c>
      <c r="H43" s="47" t="str">
        <f>IF($A43="","",SUMIFS('Lançamentos - Artigos'!$L$2:$L$506,'Lançamentos - Artigos'!$A$2:$A$506,$A43))</f>
        <v/>
      </c>
      <c r="I43" s="47" t="str">
        <f t="shared" si="1"/>
        <v/>
      </c>
      <c r="J43" s="48" t="str">
        <f t="shared" si="2"/>
        <v/>
      </c>
      <c r="K43" s="46" t="str">
        <f>IF($A43="","",COUNTIFS('Destaques e PTTs'!$A$2:$A$501,$A43,'Destaques e PTTs'!$C$2:$C$501,"Destaque*",'Destaques e PTTs'!$W$2:$W$501,"OK"))</f>
        <v/>
      </c>
      <c r="L43" s="46" t="str">
        <f>IF($A43="","",COUNTIFS('Destaques e PTTs'!$A$2:$A$501,$A43,'Destaques e PTTs'!$C$2:$C$501,"PTT adicional*",'Destaques e PTTs'!$W$2:$W$501,"OK"))</f>
        <v/>
      </c>
      <c r="M43" s="46" t="str">
        <f>IF($A43="","",IF('Orientações'!$B$4="Profissional",IF(AND(K43=2,L43=3),"OK",IF(OR(K43&gt;2,L43&gt;3),"EXCEDE","PENDENTE")),IF(K43=2,"OK",IF(K43&gt;2,"EXCEDE","PENDENTE"))))</f>
        <v/>
      </c>
      <c r="N43" s="46" t="str">
        <f t="shared" si="3"/>
        <v/>
      </c>
      <c r="O43" s="38"/>
    </row>
    <row r="44" ht="15.75" customHeight="1">
      <c r="A44" s="38"/>
      <c r="B44" s="52"/>
      <c r="C44" s="38"/>
      <c r="D44" s="44" t="s">
        <v>177</v>
      </c>
      <c r="E44" s="38"/>
      <c r="F44" s="38"/>
      <c r="G44" s="46" t="str">
        <f>IF($A44="","",COUNTIFS('Lançamentos - Artigos'!$A$2:$A$506,$A44,'Lançamentos - Artigos'!$L$2:$L$506,"&gt;0"))</f>
        <v/>
      </c>
      <c r="H44" s="47" t="str">
        <f>IF($A44="","",SUMIFS('Lançamentos - Artigos'!$L$2:$L$506,'Lançamentos - Artigos'!$A$2:$A$506,$A44))</f>
        <v/>
      </c>
      <c r="I44" s="47" t="str">
        <f t="shared" si="1"/>
        <v/>
      </c>
      <c r="J44" s="48" t="str">
        <f t="shared" si="2"/>
        <v/>
      </c>
      <c r="K44" s="46" t="str">
        <f>IF($A44="","",COUNTIFS('Destaques e PTTs'!$A$2:$A$501,$A44,'Destaques e PTTs'!$C$2:$C$501,"Destaque*",'Destaques e PTTs'!$W$2:$W$501,"OK"))</f>
        <v/>
      </c>
      <c r="L44" s="46" t="str">
        <f>IF($A44="","",COUNTIFS('Destaques e PTTs'!$A$2:$A$501,$A44,'Destaques e PTTs'!$C$2:$C$501,"PTT adicional*",'Destaques e PTTs'!$W$2:$W$501,"OK"))</f>
        <v/>
      </c>
      <c r="M44" s="46" t="str">
        <f>IF($A44="","",IF('Orientações'!$B$4="Profissional",IF(AND(K44=2,L44=3),"OK",IF(OR(K44&gt;2,L44&gt;3),"EXCEDE","PENDENTE")),IF(K44=2,"OK",IF(K44&gt;2,"EXCEDE","PENDENTE"))))</f>
        <v/>
      </c>
      <c r="N44" s="46" t="str">
        <f t="shared" si="3"/>
        <v/>
      </c>
      <c r="O44" s="38"/>
    </row>
    <row r="45" ht="15.75" customHeight="1">
      <c r="A45" s="38"/>
      <c r="B45" s="52"/>
      <c r="C45" s="38"/>
      <c r="D45" s="44" t="s">
        <v>177</v>
      </c>
      <c r="E45" s="38"/>
      <c r="F45" s="38"/>
      <c r="G45" s="46" t="str">
        <f>IF($A45="","",COUNTIFS('Lançamentos - Artigos'!$A$2:$A$506,$A45,'Lançamentos - Artigos'!$L$2:$L$506,"&gt;0"))</f>
        <v/>
      </c>
      <c r="H45" s="47" t="str">
        <f>IF($A45="","",SUMIFS('Lançamentos - Artigos'!$L$2:$L$506,'Lançamentos - Artigos'!$A$2:$A$506,$A45))</f>
        <v/>
      </c>
      <c r="I45" s="47" t="str">
        <f t="shared" si="1"/>
        <v/>
      </c>
      <c r="J45" s="48" t="str">
        <f t="shared" si="2"/>
        <v/>
      </c>
      <c r="K45" s="46" t="str">
        <f>IF($A45="","",COUNTIFS('Destaques e PTTs'!$A$2:$A$501,$A45,'Destaques e PTTs'!$C$2:$C$501,"Destaque*",'Destaques e PTTs'!$W$2:$W$501,"OK"))</f>
        <v/>
      </c>
      <c r="L45" s="46" t="str">
        <f>IF($A45="","",COUNTIFS('Destaques e PTTs'!$A$2:$A$501,$A45,'Destaques e PTTs'!$C$2:$C$501,"PTT adicional*",'Destaques e PTTs'!$W$2:$W$501,"OK"))</f>
        <v/>
      </c>
      <c r="M45" s="46" t="str">
        <f>IF($A45="","",IF('Orientações'!$B$4="Profissional",IF(AND(K45=2,L45=3),"OK",IF(OR(K45&gt;2,L45&gt;3),"EXCEDE","PENDENTE")),IF(K45=2,"OK",IF(K45&gt;2,"EXCEDE","PENDENTE"))))</f>
        <v/>
      </c>
      <c r="N45" s="46" t="str">
        <f t="shared" si="3"/>
        <v/>
      </c>
      <c r="O45" s="38"/>
    </row>
    <row r="46" ht="15.75" customHeight="1">
      <c r="A46" s="38"/>
      <c r="B46" s="52"/>
      <c r="C46" s="38"/>
      <c r="D46" s="44" t="s">
        <v>177</v>
      </c>
      <c r="E46" s="38"/>
      <c r="F46" s="38"/>
      <c r="G46" s="46" t="str">
        <f>IF($A46="","",COUNTIFS('Lançamentos - Artigos'!$A$2:$A$506,$A46,'Lançamentos - Artigos'!$L$2:$L$506,"&gt;0"))</f>
        <v/>
      </c>
      <c r="H46" s="47" t="str">
        <f>IF($A46="","",SUMIFS('Lançamentos - Artigos'!$L$2:$L$506,'Lançamentos - Artigos'!$A$2:$A$506,$A46))</f>
        <v/>
      </c>
      <c r="I46" s="47" t="str">
        <f t="shared" si="1"/>
        <v/>
      </c>
      <c r="J46" s="48" t="str">
        <f t="shared" si="2"/>
        <v/>
      </c>
      <c r="K46" s="46" t="str">
        <f>IF($A46="","",COUNTIFS('Destaques e PTTs'!$A$2:$A$501,$A46,'Destaques e PTTs'!$C$2:$C$501,"Destaque*",'Destaques e PTTs'!$W$2:$W$501,"OK"))</f>
        <v/>
      </c>
      <c r="L46" s="46" t="str">
        <f>IF($A46="","",COUNTIFS('Destaques e PTTs'!$A$2:$A$501,$A46,'Destaques e PTTs'!$C$2:$C$501,"PTT adicional*",'Destaques e PTTs'!$W$2:$W$501,"OK"))</f>
        <v/>
      </c>
      <c r="M46" s="46" t="str">
        <f>IF($A46="","",IF('Orientações'!$B$4="Profissional",IF(AND(K46=2,L46=3),"OK",IF(OR(K46&gt;2,L46&gt;3),"EXCEDE","PENDENTE")),IF(K46=2,"OK",IF(K46&gt;2,"EXCEDE","PENDENTE"))))</f>
        <v/>
      </c>
      <c r="N46" s="46" t="str">
        <f t="shared" si="3"/>
        <v/>
      </c>
      <c r="O46" s="38"/>
    </row>
    <row r="47" ht="15.75" customHeight="1">
      <c r="A47" s="38"/>
      <c r="B47" s="52"/>
      <c r="C47" s="38"/>
      <c r="D47" s="44" t="s">
        <v>177</v>
      </c>
      <c r="E47" s="38"/>
      <c r="F47" s="38"/>
      <c r="G47" s="46" t="str">
        <f>IF($A47="","",COUNTIFS('Lançamentos - Artigos'!$A$2:$A$506,$A47,'Lançamentos - Artigos'!$L$2:$L$506,"&gt;0"))</f>
        <v/>
      </c>
      <c r="H47" s="47" t="str">
        <f>IF($A47="","",SUMIFS('Lançamentos - Artigos'!$L$2:$L$506,'Lançamentos - Artigos'!$A$2:$A$506,$A47))</f>
        <v/>
      </c>
      <c r="I47" s="47" t="str">
        <f t="shared" si="1"/>
        <v/>
      </c>
      <c r="J47" s="48" t="str">
        <f t="shared" si="2"/>
        <v/>
      </c>
      <c r="K47" s="46" t="str">
        <f>IF($A47="","",COUNTIFS('Destaques e PTTs'!$A$2:$A$501,$A47,'Destaques e PTTs'!$C$2:$C$501,"Destaque*",'Destaques e PTTs'!$W$2:$W$501,"OK"))</f>
        <v/>
      </c>
      <c r="L47" s="46" t="str">
        <f>IF($A47="","",COUNTIFS('Destaques e PTTs'!$A$2:$A$501,$A47,'Destaques e PTTs'!$C$2:$C$501,"PTT adicional*",'Destaques e PTTs'!$W$2:$W$501,"OK"))</f>
        <v/>
      </c>
      <c r="M47" s="46" t="str">
        <f>IF($A47="","",IF('Orientações'!$B$4="Profissional",IF(AND(K47=2,L47=3),"OK",IF(OR(K47&gt;2,L47&gt;3),"EXCEDE","PENDENTE")),IF(K47=2,"OK",IF(K47&gt;2,"EXCEDE","PENDENTE"))))</f>
        <v/>
      </c>
      <c r="N47" s="46" t="str">
        <f t="shared" si="3"/>
        <v/>
      </c>
      <c r="O47" s="38"/>
    </row>
    <row r="48" ht="15.75" customHeight="1">
      <c r="A48" s="38"/>
      <c r="B48" s="52"/>
      <c r="C48" s="38"/>
      <c r="D48" s="44" t="s">
        <v>177</v>
      </c>
      <c r="E48" s="38"/>
      <c r="F48" s="38"/>
      <c r="G48" s="46" t="str">
        <f>IF($A48="","",COUNTIFS('Lançamentos - Artigos'!$A$2:$A$506,$A48,'Lançamentos - Artigos'!$L$2:$L$506,"&gt;0"))</f>
        <v/>
      </c>
      <c r="H48" s="47" t="str">
        <f>IF($A48="","",SUMIFS('Lançamentos - Artigos'!$L$2:$L$506,'Lançamentos - Artigos'!$A$2:$A$506,$A48))</f>
        <v/>
      </c>
      <c r="I48" s="47" t="str">
        <f t="shared" si="1"/>
        <v/>
      </c>
      <c r="J48" s="48" t="str">
        <f t="shared" si="2"/>
        <v/>
      </c>
      <c r="K48" s="46" t="str">
        <f>IF($A48="","",COUNTIFS('Destaques e PTTs'!$A$2:$A$501,$A48,'Destaques e PTTs'!$C$2:$C$501,"Destaque*",'Destaques e PTTs'!$W$2:$W$501,"OK"))</f>
        <v/>
      </c>
      <c r="L48" s="46" t="str">
        <f>IF($A48="","",COUNTIFS('Destaques e PTTs'!$A$2:$A$501,$A48,'Destaques e PTTs'!$C$2:$C$501,"PTT adicional*",'Destaques e PTTs'!$W$2:$W$501,"OK"))</f>
        <v/>
      </c>
      <c r="M48" s="46" t="str">
        <f>IF($A48="","",IF('Orientações'!$B$4="Profissional",IF(AND(K48=2,L48=3),"OK",IF(OR(K48&gt;2,L48&gt;3),"EXCEDE","PENDENTE")),IF(K48=2,"OK",IF(K48&gt;2,"EXCEDE","PENDENTE"))))</f>
        <v/>
      </c>
      <c r="N48" s="46" t="str">
        <f t="shared" si="3"/>
        <v/>
      </c>
      <c r="O48" s="38"/>
    </row>
    <row r="49" ht="15.75" customHeight="1">
      <c r="A49" s="38"/>
      <c r="B49" s="52"/>
      <c r="C49" s="38"/>
      <c r="D49" s="44" t="s">
        <v>177</v>
      </c>
      <c r="E49" s="38"/>
      <c r="F49" s="38"/>
      <c r="G49" s="46" t="str">
        <f>IF($A49="","",COUNTIFS('Lançamentos - Artigos'!$A$2:$A$506,$A49,'Lançamentos - Artigos'!$L$2:$L$506,"&gt;0"))</f>
        <v/>
      </c>
      <c r="H49" s="47" t="str">
        <f>IF($A49="","",SUMIFS('Lançamentos - Artigos'!$L$2:$L$506,'Lançamentos - Artigos'!$A$2:$A$506,$A49))</f>
        <v/>
      </c>
      <c r="I49" s="47" t="str">
        <f t="shared" si="1"/>
        <v/>
      </c>
      <c r="J49" s="48" t="str">
        <f t="shared" si="2"/>
        <v/>
      </c>
      <c r="K49" s="46" t="str">
        <f>IF($A49="","",COUNTIFS('Destaques e PTTs'!$A$2:$A$501,$A49,'Destaques e PTTs'!$C$2:$C$501,"Destaque*",'Destaques e PTTs'!$W$2:$W$501,"OK"))</f>
        <v/>
      </c>
      <c r="L49" s="46" t="str">
        <f>IF($A49="","",COUNTIFS('Destaques e PTTs'!$A$2:$A$501,$A49,'Destaques e PTTs'!$C$2:$C$501,"PTT adicional*",'Destaques e PTTs'!$W$2:$W$501,"OK"))</f>
        <v/>
      </c>
      <c r="M49" s="46" t="str">
        <f>IF($A49="","",IF('Orientações'!$B$4="Profissional",IF(AND(K49=2,L49=3),"OK",IF(OR(K49&gt;2,L49&gt;3),"EXCEDE","PENDENTE")),IF(K49=2,"OK",IF(K49&gt;2,"EXCEDE","PENDENTE"))))</f>
        <v/>
      </c>
      <c r="N49" s="46" t="str">
        <f t="shared" si="3"/>
        <v/>
      </c>
      <c r="O49" s="38"/>
    </row>
    <row r="50" ht="15.75" customHeight="1">
      <c r="A50" s="38"/>
      <c r="B50" s="52"/>
      <c r="C50" s="38"/>
      <c r="D50" s="44" t="s">
        <v>177</v>
      </c>
      <c r="E50" s="38"/>
      <c r="F50" s="38"/>
      <c r="G50" s="46" t="str">
        <f>IF($A50="","",COUNTIFS('Lançamentos - Artigos'!$A$2:$A$506,$A50,'Lançamentos - Artigos'!$L$2:$L$506,"&gt;0"))</f>
        <v/>
      </c>
      <c r="H50" s="47" t="str">
        <f>IF($A50="","",SUMIFS('Lançamentos - Artigos'!$L$2:$L$506,'Lançamentos - Artigos'!$A$2:$A$506,$A50))</f>
        <v/>
      </c>
      <c r="I50" s="47" t="str">
        <f t="shared" si="1"/>
        <v/>
      </c>
      <c r="J50" s="48" t="str">
        <f t="shared" si="2"/>
        <v/>
      </c>
      <c r="K50" s="46" t="str">
        <f>IF($A50="","",COUNTIFS('Destaques e PTTs'!$A$2:$A$501,$A50,'Destaques e PTTs'!$C$2:$C$501,"Destaque*",'Destaques e PTTs'!$W$2:$W$501,"OK"))</f>
        <v/>
      </c>
      <c r="L50" s="46" t="str">
        <f>IF($A50="","",COUNTIFS('Destaques e PTTs'!$A$2:$A$501,$A50,'Destaques e PTTs'!$C$2:$C$501,"PTT adicional*",'Destaques e PTTs'!$W$2:$W$501,"OK"))</f>
        <v/>
      </c>
      <c r="M50" s="46" t="str">
        <f>IF($A50="","",IF('Orientações'!$B$4="Profissional",IF(AND(K50=2,L50=3),"OK",IF(OR(K50&gt;2,L50&gt;3),"EXCEDE","PENDENTE")),IF(K50=2,"OK",IF(K50&gt;2,"EXCEDE","PENDENTE"))))</f>
        <v/>
      </c>
      <c r="N50" s="46" t="str">
        <f t="shared" si="3"/>
        <v/>
      </c>
      <c r="O50" s="38"/>
    </row>
    <row r="51" ht="15.75" customHeight="1">
      <c r="A51" s="38"/>
      <c r="B51" s="52"/>
      <c r="C51" s="38"/>
      <c r="D51" s="44" t="s">
        <v>177</v>
      </c>
      <c r="E51" s="38"/>
      <c r="F51" s="38"/>
      <c r="G51" s="46" t="str">
        <f>IF($A51="","",COUNTIFS('Lançamentos - Artigos'!$A$2:$A$506,$A51,'Lançamentos - Artigos'!$L$2:$L$506,"&gt;0"))</f>
        <v/>
      </c>
      <c r="H51" s="47" t="str">
        <f>IF($A51="","",SUMIFS('Lançamentos - Artigos'!$L$2:$L$506,'Lançamentos - Artigos'!$A$2:$A$506,$A51))</f>
        <v/>
      </c>
      <c r="I51" s="47" t="str">
        <f t="shared" si="1"/>
        <v/>
      </c>
      <c r="J51" s="48" t="str">
        <f t="shared" si="2"/>
        <v/>
      </c>
      <c r="K51" s="46" t="str">
        <f>IF($A51="","",COUNTIFS('Destaques e PTTs'!$A$2:$A$501,$A51,'Destaques e PTTs'!$C$2:$C$501,"Destaque*",'Destaques e PTTs'!$W$2:$W$501,"OK"))</f>
        <v/>
      </c>
      <c r="L51" s="46" t="str">
        <f>IF($A51="","",COUNTIFS('Destaques e PTTs'!$A$2:$A$501,$A51,'Destaques e PTTs'!$C$2:$C$501,"PTT adicional*",'Destaques e PTTs'!$W$2:$W$501,"OK"))</f>
        <v/>
      </c>
      <c r="M51" s="46" t="str">
        <f>IF($A51="","",IF('Orientações'!$B$4="Profissional",IF(AND(K51=2,L51=3),"OK",IF(OR(K51&gt;2,L51&gt;3),"EXCEDE","PENDENTE")),IF(K51=2,"OK",IF(K51&gt;2,"EXCEDE","PENDENTE"))))</f>
        <v/>
      </c>
      <c r="N51" s="46" t="str">
        <f t="shared" si="3"/>
        <v/>
      </c>
      <c r="O51" s="38"/>
    </row>
    <row r="52" ht="15.75" customHeight="1">
      <c r="A52" s="38"/>
      <c r="B52" s="52"/>
      <c r="C52" s="38"/>
      <c r="D52" s="44" t="s">
        <v>177</v>
      </c>
      <c r="E52" s="38"/>
      <c r="F52" s="38"/>
      <c r="G52" s="46" t="str">
        <f>IF($A52="","",COUNTIFS('Lançamentos - Artigos'!$A$2:$A$506,$A52,'Lançamentos - Artigos'!$L$2:$L$506,"&gt;0"))</f>
        <v/>
      </c>
      <c r="H52" s="47" t="str">
        <f>IF($A52="","",SUMIFS('Lançamentos - Artigos'!$L$2:$L$506,'Lançamentos - Artigos'!$A$2:$A$506,$A52))</f>
        <v/>
      </c>
      <c r="I52" s="47" t="str">
        <f t="shared" si="1"/>
        <v/>
      </c>
      <c r="J52" s="48" t="str">
        <f t="shared" si="2"/>
        <v/>
      </c>
      <c r="K52" s="46" t="str">
        <f>IF($A52="","",COUNTIFS('Destaques e PTTs'!$A$2:$A$501,$A52,'Destaques e PTTs'!$C$2:$C$501,"Destaque*",'Destaques e PTTs'!$W$2:$W$501,"OK"))</f>
        <v/>
      </c>
      <c r="L52" s="46" t="str">
        <f>IF($A52="","",COUNTIFS('Destaques e PTTs'!$A$2:$A$501,$A52,'Destaques e PTTs'!$C$2:$C$501,"PTT adicional*",'Destaques e PTTs'!$W$2:$W$501,"OK"))</f>
        <v/>
      </c>
      <c r="M52" s="46" t="str">
        <f>IF($A52="","",IF('Orientações'!$B$4="Profissional",IF(AND(K52=2,L52=3),"OK",IF(OR(K52&gt;2,L52&gt;3),"EXCEDE","PENDENTE")),IF(K52=2,"OK",IF(K52&gt;2,"EXCEDE","PENDENTE"))))</f>
        <v/>
      </c>
      <c r="N52" s="46" t="str">
        <f t="shared" si="3"/>
        <v/>
      </c>
      <c r="O52" s="38"/>
    </row>
    <row r="53" ht="15.75" customHeight="1">
      <c r="A53" s="38"/>
      <c r="B53" s="52"/>
      <c r="C53" s="38"/>
      <c r="D53" s="44" t="s">
        <v>177</v>
      </c>
      <c r="E53" s="38"/>
      <c r="F53" s="38"/>
      <c r="G53" s="46" t="str">
        <f>IF($A53="","",COUNTIFS('Lançamentos - Artigos'!$A$2:$A$506,$A53,'Lançamentos - Artigos'!$L$2:$L$506,"&gt;0"))</f>
        <v/>
      </c>
      <c r="H53" s="47" t="str">
        <f>IF($A53="","",SUMIFS('Lançamentos - Artigos'!$L$2:$L$506,'Lançamentos - Artigos'!$A$2:$A$506,$A53))</f>
        <v/>
      </c>
      <c r="I53" s="47" t="str">
        <f t="shared" si="1"/>
        <v/>
      </c>
      <c r="J53" s="48" t="str">
        <f t="shared" si="2"/>
        <v/>
      </c>
      <c r="K53" s="46" t="str">
        <f>IF($A53="","",COUNTIFS('Destaques e PTTs'!$A$2:$A$501,$A53,'Destaques e PTTs'!$C$2:$C$501,"Destaque*",'Destaques e PTTs'!$W$2:$W$501,"OK"))</f>
        <v/>
      </c>
      <c r="L53" s="46" t="str">
        <f>IF($A53="","",COUNTIFS('Destaques e PTTs'!$A$2:$A$501,$A53,'Destaques e PTTs'!$C$2:$C$501,"PTT adicional*",'Destaques e PTTs'!$W$2:$W$501,"OK"))</f>
        <v/>
      </c>
      <c r="M53" s="46" t="str">
        <f>IF($A53="","",IF('Orientações'!$B$4="Profissional",IF(AND(K53=2,L53=3),"OK",IF(OR(K53&gt;2,L53&gt;3),"EXCEDE","PENDENTE")),IF(K53=2,"OK",IF(K53&gt;2,"EXCEDE","PENDENTE"))))</f>
        <v/>
      </c>
      <c r="N53" s="46" t="str">
        <f t="shared" si="3"/>
        <v/>
      </c>
      <c r="O53" s="38"/>
    </row>
    <row r="54" ht="15.75" customHeight="1">
      <c r="A54" s="38"/>
      <c r="B54" s="52"/>
      <c r="C54" s="38"/>
      <c r="D54" s="44" t="s">
        <v>177</v>
      </c>
      <c r="E54" s="38"/>
      <c r="F54" s="38"/>
      <c r="G54" s="46" t="str">
        <f>IF($A54="","",COUNTIFS('Lançamentos - Artigos'!$A$2:$A$506,$A54,'Lançamentos - Artigos'!$L$2:$L$506,"&gt;0"))</f>
        <v/>
      </c>
      <c r="H54" s="47" t="str">
        <f>IF($A54="","",SUMIFS('Lançamentos - Artigos'!$L$2:$L$506,'Lançamentos - Artigos'!$A$2:$A$506,$A54))</f>
        <v/>
      </c>
      <c r="I54" s="47" t="str">
        <f t="shared" si="1"/>
        <v/>
      </c>
      <c r="J54" s="48" t="str">
        <f t="shared" si="2"/>
        <v/>
      </c>
      <c r="K54" s="46" t="str">
        <f>IF($A54="","",COUNTIFS('Destaques e PTTs'!$A$2:$A$501,$A54,'Destaques e PTTs'!$C$2:$C$501,"Destaque*",'Destaques e PTTs'!$W$2:$W$501,"OK"))</f>
        <v/>
      </c>
      <c r="L54" s="46" t="str">
        <f>IF($A54="","",COUNTIFS('Destaques e PTTs'!$A$2:$A$501,$A54,'Destaques e PTTs'!$C$2:$C$501,"PTT adicional*",'Destaques e PTTs'!$W$2:$W$501,"OK"))</f>
        <v/>
      </c>
      <c r="M54" s="46" t="str">
        <f>IF($A54="","",IF('Orientações'!$B$4="Profissional",IF(AND(K54=2,L54=3),"OK",IF(OR(K54&gt;2,L54&gt;3),"EXCEDE","PENDENTE")),IF(K54=2,"OK",IF(K54&gt;2,"EXCEDE","PENDENTE"))))</f>
        <v/>
      </c>
      <c r="N54" s="46" t="str">
        <f t="shared" si="3"/>
        <v/>
      </c>
      <c r="O54" s="38"/>
    </row>
    <row r="55" ht="15.75" customHeight="1">
      <c r="A55" s="38"/>
      <c r="B55" s="52"/>
      <c r="C55" s="38"/>
      <c r="D55" s="44" t="s">
        <v>177</v>
      </c>
      <c r="E55" s="38"/>
      <c r="F55" s="38"/>
      <c r="G55" s="46" t="str">
        <f>IF($A55="","",COUNTIFS('Lançamentos - Artigos'!$A$2:$A$506,$A55,'Lançamentos - Artigos'!$L$2:$L$506,"&gt;0"))</f>
        <v/>
      </c>
      <c r="H55" s="47" t="str">
        <f>IF($A55="","",SUMIFS('Lançamentos - Artigos'!$L$2:$L$506,'Lançamentos - Artigos'!$A$2:$A$506,$A55))</f>
        <v/>
      </c>
      <c r="I55" s="47" t="str">
        <f t="shared" si="1"/>
        <v/>
      </c>
      <c r="J55" s="48" t="str">
        <f t="shared" si="2"/>
        <v/>
      </c>
      <c r="K55" s="46" t="str">
        <f>IF($A55="","",COUNTIFS('Destaques e PTTs'!$A$2:$A$501,$A55,'Destaques e PTTs'!$C$2:$C$501,"Destaque*",'Destaques e PTTs'!$W$2:$W$501,"OK"))</f>
        <v/>
      </c>
      <c r="L55" s="46" t="str">
        <f>IF($A55="","",COUNTIFS('Destaques e PTTs'!$A$2:$A$501,$A55,'Destaques e PTTs'!$C$2:$C$501,"PTT adicional*",'Destaques e PTTs'!$W$2:$W$501,"OK"))</f>
        <v/>
      </c>
      <c r="M55" s="46" t="str">
        <f>IF($A55="","",IF('Orientações'!$B$4="Profissional",IF(AND(K55=2,L55=3),"OK",IF(OR(K55&gt;2,L55&gt;3),"EXCEDE","PENDENTE")),IF(K55=2,"OK",IF(K55&gt;2,"EXCEDE","PENDENTE"))))</f>
        <v/>
      </c>
      <c r="N55" s="46" t="str">
        <f t="shared" si="3"/>
        <v/>
      </c>
      <c r="O55" s="38"/>
    </row>
    <row r="56" ht="15.75" customHeight="1">
      <c r="A56" s="38"/>
      <c r="B56" s="52"/>
      <c r="C56" s="38"/>
      <c r="D56" s="44" t="s">
        <v>177</v>
      </c>
      <c r="E56" s="38"/>
      <c r="F56" s="38"/>
      <c r="G56" s="46" t="str">
        <f>IF($A56="","",COUNTIFS('Lançamentos - Artigos'!$A$2:$A$506,$A56,'Lançamentos - Artigos'!$L$2:$L$506,"&gt;0"))</f>
        <v/>
      </c>
      <c r="H56" s="47" t="str">
        <f>IF($A56="","",SUMIFS('Lançamentos - Artigos'!$L$2:$L$506,'Lançamentos - Artigos'!$A$2:$A$506,$A56))</f>
        <v/>
      </c>
      <c r="I56" s="47" t="str">
        <f t="shared" si="1"/>
        <v/>
      </c>
      <c r="J56" s="48" t="str">
        <f t="shared" si="2"/>
        <v/>
      </c>
      <c r="K56" s="46" t="str">
        <f>IF($A56="","",COUNTIFS('Destaques e PTTs'!$A$2:$A$501,$A56,'Destaques e PTTs'!$C$2:$C$501,"Destaque*",'Destaques e PTTs'!$W$2:$W$501,"OK"))</f>
        <v/>
      </c>
      <c r="L56" s="46" t="str">
        <f>IF($A56="","",COUNTIFS('Destaques e PTTs'!$A$2:$A$501,$A56,'Destaques e PTTs'!$C$2:$C$501,"PTT adicional*",'Destaques e PTTs'!$W$2:$W$501,"OK"))</f>
        <v/>
      </c>
      <c r="M56" s="46" t="str">
        <f>IF($A56="","",IF('Orientações'!$B$4="Profissional",IF(AND(K56=2,L56=3),"OK",IF(OR(K56&gt;2,L56&gt;3),"EXCEDE","PENDENTE")),IF(K56=2,"OK",IF(K56&gt;2,"EXCEDE","PENDENTE"))))</f>
        <v/>
      </c>
      <c r="N56" s="46" t="str">
        <f t="shared" si="3"/>
        <v/>
      </c>
      <c r="O56" s="38"/>
    </row>
    <row r="57" ht="15.75" customHeight="1">
      <c r="A57" s="38"/>
      <c r="B57" s="52"/>
      <c r="C57" s="38"/>
      <c r="D57" s="44" t="s">
        <v>177</v>
      </c>
      <c r="E57" s="38"/>
      <c r="F57" s="38"/>
      <c r="G57" s="46" t="str">
        <f>IF($A57="","",COUNTIFS('Lançamentos - Artigos'!$A$2:$A$506,$A57,'Lançamentos - Artigos'!$L$2:$L$506,"&gt;0"))</f>
        <v/>
      </c>
      <c r="H57" s="47" t="str">
        <f>IF($A57="","",SUMIFS('Lançamentos - Artigos'!$L$2:$L$506,'Lançamentos - Artigos'!$A$2:$A$506,$A57))</f>
        <v/>
      </c>
      <c r="I57" s="47" t="str">
        <f t="shared" si="1"/>
        <v/>
      </c>
      <c r="J57" s="48" t="str">
        <f t="shared" si="2"/>
        <v/>
      </c>
      <c r="K57" s="46" t="str">
        <f>IF($A57="","",COUNTIFS('Destaques e PTTs'!$A$2:$A$501,$A57,'Destaques e PTTs'!$C$2:$C$501,"Destaque*",'Destaques e PTTs'!$W$2:$W$501,"OK"))</f>
        <v/>
      </c>
      <c r="L57" s="46" t="str">
        <f>IF($A57="","",COUNTIFS('Destaques e PTTs'!$A$2:$A$501,$A57,'Destaques e PTTs'!$C$2:$C$501,"PTT adicional*",'Destaques e PTTs'!$W$2:$W$501,"OK"))</f>
        <v/>
      </c>
      <c r="M57" s="46" t="str">
        <f>IF($A57="","",IF('Orientações'!$B$4="Profissional",IF(AND(K57=2,L57=3),"OK",IF(OR(K57&gt;2,L57&gt;3),"EXCEDE","PENDENTE")),IF(K57=2,"OK",IF(K57&gt;2,"EXCEDE","PENDENTE"))))</f>
        <v/>
      </c>
      <c r="N57" s="46" t="str">
        <f t="shared" si="3"/>
        <v/>
      </c>
      <c r="O57" s="38"/>
    </row>
    <row r="58" ht="15.75" customHeight="1">
      <c r="B58" s="60"/>
      <c r="J58" s="60"/>
    </row>
    <row r="59" ht="15.75" customHeight="1">
      <c r="B59" s="60"/>
      <c r="J59" s="60"/>
    </row>
    <row r="60" ht="15.75" customHeight="1">
      <c r="B60" s="60"/>
      <c r="J60" s="60"/>
    </row>
    <row r="61" ht="15.75" customHeight="1">
      <c r="B61" s="60"/>
      <c r="J61" s="60"/>
    </row>
    <row r="62" ht="15.75" customHeight="1">
      <c r="B62" s="60"/>
      <c r="J62" s="60"/>
    </row>
    <row r="63" ht="15.75" customHeight="1">
      <c r="B63" s="60"/>
      <c r="J63" s="60"/>
    </row>
    <row r="64" ht="15.75" customHeight="1">
      <c r="B64" s="60"/>
      <c r="J64" s="60"/>
    </row>
    <row r="65" ht="15.75" customHeight="1">
      <c r="B65" s="60"/>
      <c r="J65" s="60"/>
    </row>
    <row r="66" ht="15.75" customHeight="1">
      <c r="B66" s="60"/>
      <c r="J66" s="60"/>
    </row>
    <row r="67" ht="15.75" customHeight="1">
      <c r="B67" s="60"/>
      <c r="J67" s="60"/>
    </row>
    <row r="68" ht="15.75" customHeight="1">
      <c r="B68" s="60"/>
      <c r="J68" s="60"/>
    </row>
    <row r="69" ht="15.75" customHeight="1">
      <c r="B69" s="60"/>
      <c r="J69" s="60"/>
    </row>
    <row r="70" ht="15.75" customHeight="1">
      <c r="B70" s="60"/>
      <c r="J70" s="60"/>
    </row>
    <row r="71" ht="15.75" customHeight="1">
      <c r="B71" s="60"/>
      <c r="J71" s="60"/>
    </row>
    <row r="72" ht="15.75" customHeight="1">
      <c r="B72" s="60"/>
      <c r="J72" s="60"/>
    </row>
    <row r="73" ht="15.75" customHeight="1">
      <c r="B73" s="60"/>
      <c r="J73" s="60"/>
    </row>
    <row r="74" ht="15.75" customHeight="1">
      <c r="B74" s="60"/>
      <c r="J74" s="60"/>
    </row>
    <row r="75" ht="15.75" customHeight="1">
      <c r="B75" s="60"/>
      <c r="J75" s="60"/>
    </row>
    <row r="76" ht="15.75" customHeight="1">
      <c r="B76" s="60"/>
      <c r="J76" s="60"/>
    </row>
    <row r="77" ht="15.75" customHeight="1">
      <c r="B77" s="60"/>
      <c r="J77" s="60"/>
    </row>
    <row r="78" ht="15.75" customHeight="1">
      <c r="B78" s="60"/>
      <c r="J78" s="60"/>
    </row>
    <row r="79" ht="15.75" customHeight="1">
      <c r="B79" s="60"/>
      <c r="J79" s="60"/>
    </row>
    <row r="80" ht="15.75" customHeight="1">
      <c r="B80" s="60"/>
      <c r="J80" s="60"/>
    </row>
    <row r="81" ht="15.75" customHeight="1">
      <c r="B81" s="60"/>
      <c r="J81" s="60"/>
    </row>
    <row r="82" ht="15.75" customHeight="1">
      <c r="B82" s="60"/>
      <c r="J82" s="60"/>
    </row>
    <row r="83" ht="15.75" customHeight="1">
      <c r="B83" s="60"/>
      <c r="J83" s="60"/>
    </row>
    <row r="84" ht="15.75" customHeight="1">
      <c r="B84" s="60"/>
      <c r="J84" s="60"/>
    </row>
    <row r="85" ht="15.75" customHeight="1">
      <c r="B85" s="60"/>
      <c r="J85" s="60"/>
    </row>
    <row r="86" ht="15.75" customHeight="1">
      <c r="B86" s="60"/>
      <c r="J86" s="60"/>
    </row>
    <row r="87" ht="15.75" customHeight="1">
      <c r="B87" s="60"/>
      <c r="J87" s="60"/>
    </row>
    <row r="88" ht="15.75" customHeight="1">
      <c r="B88" s="60"/>
      <c r="J88" s="60"/>
    </row>
    <row r="89" ht="15.75" customHeight="1">
      <c r="B89" s="60"/>
      <c r="J89" s="60"/>
    </row>
    <row r="90" ht="15.75" customHeight="1">
      <c r="B90" s="60"/>
      <c r="J90" s="60"/>
    </row>
    <row r="91" ht="15.75" customHeight="1">
      <c r="B91" s="60"/>
      <c r="J91" s="60"/>
    </row>
    <row r="92" ht="15.75" customHeight="1">
      <c r="B92" s="60"/>
      <c r="J92" s="60"/>
    </row>
    <row r="93" ht="15.75" customHeight="1">
      <c r="B93" s="60"/>
      <c r="J93" s="60"/>
    </row>
    <row r="94" ht="15.75" customHeight="1">
      <c r="B94" s="60"/>
      <c r="J94" s="60"/>
    </row>
    <row r="95" ht="15.75" customHeight="1">
      <c r="B95" s="60"/>
      <c r="J95" s="60"/>
    </row>
    <row r="96" ht="15.75" customHeight="1">
      <c r="B96" s="60"/>
      <c r="J96" s="60"/>
    </row>
    <row r="97" ht="15.75" customHeight="1">
      <c r="B97" s="60"/>
      <c r="J97" s="60"/>
    </row>
    <row r="98" ht="15.75" customHeight="1">
      <c r="B98" s="60"/>
      <c r="J98" s="60"/>
    </row>
    <row r="99" ht="15.75" customHeight="1">
      <c r="B99" s="60"/>
      <c r="J99" s="60"/>
    </row>
    <row r="100" ht="15.75" customHeight="1">
      <c r="B100" s="60"/>
      <c r="J100" s="60"/>
    </row>
    <row r="101" ht="15.75" customHeight="1">
      <c r="B101" s="60"/>
      <c r="J101" s="60"/>
    </row>
    <row r="102" ht="15.75" customHeight="1">
      <c r="B102" s="60"/>
      <c r="J102" s="60"/>
    </row>
    <row r="103" ht="15.75" customHeight="1">
      <c r="B103" s="60"/>
      <c r="J103" s="60"/>
    </row>
    <row r="104" ht="15.75" customHeight="1">
      <c r="B104" s="60"/>
      <c r="J104" s="60"/>
    </row>
    <row r="105" ht="15.75" customHeight="1">
      <c r="B105" s="60"/>
      <c r="J105" s="60"/>
    </row>
    <row r="106" ht="15.75" customHeight="1">
      <c r="B106" s="60"/>
      <c r="J106" s="60"/>
    </row>
    <row r="107" ht="15.75" customHeight="1">
      <c r="B107" s="60"/>
      <c r="J107" s="60"/>
    </row>
    <row r="108" ht="15.75" customHeight="1">
      <c r="B108" s="60"/>
      <c r="J108" s="60"/>
    </row>
    <row r="109" ht="15.75" customHeight="1">
      <c r="B109" s="60"/>
      <c r="J109" s="60"/>
    </row>
    <row r="110" ht="15.75" customHeight="1">
      <c r="B110" s="60"/>
      <c r="J110" s="60"/>
    </row>
    <row r="111" ht="15.75" customHeight="1">
      <c r="B111" s="60"/>
      <c r="J111" s="60"/>
    </row>
    <row r="112" ht="15.75" customHeight="1">
      <c r="B112" s="60"/>
      <c r="J112" s="60"/>
    </row>
    <row r="113" ht="15.75" customHeight="1">
      <c r="B113" s="60"/>
      <c r="J113" s="60"/>
    </row>
    <row r="114" ht="15.75" customHeight="1">
      <c r="B114" s="60"/>
      <c r="J114" s="60"/>
    </row>
    <row r="115" ht="15.75" customHeight="1">
      <c r="B115" s="60"/>
      <c r="J115" s="60"/>
    </row>
    <row r="116" ht="15.75" customHeight="1">
      <c r="B116" s="60"/>
      <c r="J116" s="60"/>
    </row>
    <row r="117" ht="15.75" customHeight="1">
      <c r="B117" s="60"/>
      <c r="J117" s="60"/>
    </row>
    <row r="118" ht="15.75" customHeight="1">
      <c r="B118" s="60"/>
      <c r="J118" s="60"/>
    </row>
    <row r="119" ht="15.75" customHeight="1">
      <c r="B119" s="60"/>
      <c r="J119" s="60"/>
    </row>
    <row r="120" ht="15.75" customHeight="1">
      <c r="B120" s="60"/>
      <c r="J120" s="60"/>
    </row>
    <row r="121" ht="15.75" customHeight="1">
      <c r="B121" s="60"/>
      <c r="J121" s="60"/>
    </row>
    <row r="122" ht="15.75" customHeight="1">
      <c r="B122" s="60"/>
      <c r="J122" s="60"/>
    </row>
    <row r="123" ht="15.75" customHeight="1">
      <c r="B123" s="60"/>
      <c r="J123" s="60"/>
    </row>
    <row r="124" ht="15.75" customHeight="1">
      <c r="B124" s="60"/>
      <c r="J124" s="60"/>
    </row>
    <row r="125" ht="15.75" customHeight="1">
      <c r="B125" s="60"/>
      <c r="J125" s="60"/>
    </row>
    <row r="126" ht="15.75" customHeight="1">
      <c r="B126" s="60"/>
      <c r="J126" s="60"/>
    </row>
    <row r="127" ht="15.75" customHeight="1">
      <c r="B127" s="60"/>
      <c r="J127" s="60"/>
    </row>
    <row r="128" ht="15.75" customHeight="1">
      <c r="B128" s="60"/>
      <c r="J128" s="60"/>
    </row>
    <row r="129" ht="15.75" customHeight="1">
      <c r="B129" s="60"/>
      <c r="J129" s="60"/>
    </row>
    <row r="130" ht="15.75" customHeight="1">
      <c r="B130" s="60"/>
      <c r="J130" s="60"/>
    </row>
    <row r="131" ht="15.75" customHeight="1">
      <c r="B131" s="60"/>
      <c r="J131" s="60"/>
    </row>
    <row r="132" ht="15.75" customHeight="1">
      <c r="B132" s="60"/>
      <c r="J132" s="60"/>
    </row>
    <row r="133" ht="15.75" customHeight="1">
      <c r="B133" s="60"/>
      <c r="J133" s="60"/>
    </row>
    <row r="134" ht="15.75" customHeight="1">
      <c r="B134" s="60"/>
      <c r="J134" s="60"/>
    </row>
    <row r="135" ht="15.75" customHeight="1">
      <c r="B135" s="60"/>
      <c r="J135" s="60"/>
    </row>
    <row r="136" ht="15.75" customHeight="1">
      <c r="B136" s="60"/>
      <c r="J136" s="60"/>
    </row>
    <row r="137" ht="15.75" customHeight="1">
      <c r="B137" s="60"/>
      <c r="J137" s="60"/>
    </row>
    <row r="138" ht="15.75" customHeight="1">
      <c r="B138" s="60"/>
      <c r="J138" s="60"/>
    </row>
    <row r="139" ht="15.75" customHeight="1">
      <c r="B139" s="60"/>
      <c r="J139" s="60"/>
    </row>
    <row r="140" ht="15.75" customHeight="1">
      <c r="B140" s="60"/>
      <c r="J140" s="60"/>
    </row>
    <row r="141" ht="15.75" customHeight="1">
      <c r="B141" s="60"/>
      <c r="J141" s="60"/>
    </row>
    <row r="142" ht="15.75" customHeight="1">
      <c r="B142" s="60"/>
      <c r="J142" s="60"/>
    </row>
    <row r="143" ht="15.75" customHeight="1">
      <c r="B143" s="60"/>
      <c r="J143" s="60"/>
    </row>
    <row r="144" ht="15.75" customHeight="1">
      <c r="B144" s="60"/>
      <c r="J144" s="60"/>
    </row>
    <row r="145" ht="15.75" customHeight="1">
      <c r="B145" s="60"/>
      <c r="J145" s="60"/>
    </row>
    <row r="146" ht="15.75" customHeight="1">
      <c r="B146" s="60"/>
      <c r="J146" s="60"/>
    </row>
    <row r="147" ht="15.75" customHeight="1">
      <c r="B147" s="60"/>
      <c r="J147" s="60"/>
    </row>
    <row r="148" ht="15.75" customHeight="1">
      <c r="B148" s="60"/>
      <c r="J148" s="60"/>
    </row>
    <row r="149" ht="15.75" customHeight="1">
      <c r="B149" s="60"/>
      <c r="J149" s="60"/>
    </row>
    <row r="150" ht="15.75" customHeight="1">
      <c r="B150" s="60"/>
      <c r="J150" s="60"/>
    </row>
    <row r="151" ht="15.75" customHeight="1">
      <c r="B151" s="60"/>
      <c r="J151" s="60"/>
    </row>
    <row r="152" ht="15.75" customHeight="1">
      <c r="B152" s="60"/>
      <c r="J152" s="60"/>
    </row>
    <row r="153" ht="15.75" customHeight="1">
      <c r="B153" s="60"/>
      <c r="J153" s="60"/>
    </row>
    <row r="154" ht="15.75" customHeight="1">
      <c r="B154" s="60"/>
      <c r="J154" s="60"/>
    </row>
    <row r="155" ht="15.75" customHeight="1">
      <c r="B155" s="60"/>
      <c r="J155" s="60"/>
    </row>
    <row r="156" ht="15.75" customHeight="1">
      <c r="B156" s="60"/>
      <c r="J156" s="60"/>
    </row>
    <row r="157" ht="15.75" customHeight="1">
      <c r="B157" s="60"/>
      <c r="J157" s="60"/>
    </row>
    <row r="158" ht="15.75" customHeight="1">
      <c r="B158" s="60"/>
      <c r="J158" s="60"/>
    </row>
    <row r="159" ht="15.75" customHeight="1">
      <c r="B159" s="60"/>
      <c r="J159" s="60"/>
    </row>
    <row r="160" ht="15.75" customHeight="1">
      <c r="B160" s="60"/>
      <c r="J160" s="60"/>
    </row>
    <row r="161" ht="15.75" customHeight="1">
      <c r="B161" s="60"/>
      <c r="J161" s="60"/>
    </row>
    <row r="162" ht="15.75" customHeight="1">
      <c r="B162" s="60"/>
      <c r="J162" s="60"/>
    </row>
    <row r="163" ht="15.75" customHeight="1">
      <c r="B163" s="60"/>
      <c r="J163" s="60"/>
    </row>
    <row r="164" ht="15.75" customHeight="1">
      <c r="B164" s="60"/>
      <c r="J164" s="60"/>
    </row>
    <row r="165" ht="15.75" customHeight="1">
      <c r="B165" s="60"/>
      <c r="J165" s="60"/>
    </row>
    <row r="166" ht="15.75" customHeight="1">
      <c r="B166" s="60"/>
      <c r="J166" s="60"/>
    </row>
    <row r="167" ht="15.75" customHeight="1">
      <c r="B167" s="60"/>
      <c r="J167" s="60"/>
    </row>
    <row r="168" ht="15.75" customHeight="1">
      <c r="B168" s="60"/>
      <c r="J168" s="60"/>
    </row>
    <row r="169" ht="15.75" customHeight="1">
      <c r="B169" s="60"/>
      <c r="J169" s="60"/>
    </row>
    <row r="170" ht="15.75" customHeight="1">
      <c r="B170" s="60"/>
      <c r="J170" s="60"/>
    </row>
    <row r="171" ht="15.75" customHeight="1">
      <c r="B171" s="60"/>
      <c r="J171" s="60"/>
    </row>
    <row r="172" ht="15.75" customHeight="1">
      <c r="B172" s="60"/>
      <c r="J172" s="60"/>
    </row>
    <row r="173" ht="15.75" customHeight="1">
      <c r="B173" s="60"/>
      <c r="J173" s="60"/>
    </row>
    <row r="174" ht="15.75" customHeight="1">
      <c r="B174" s="60"/>
      <c r="J174" s="60"/>
    </row>
    <row r="175" ht="15.75" customHeight="1">
      <c r="B175" s="60"/>
      <c r="J175" s="60"/>
    </row>
    <row r="176" ht="15.75" customHeight="1">
      <c r="B176" s="60"/>
      <c r="J176" s="60"/>
    </row>
    <row r="177" ht="15.75" customHeight="1">
      <c r="B177" s="60"/>
      <c r="J177" s="60"/>
    </row>
    <row r="178" ht="15.75" customHeight="1">
      <c r="B178" s="60"/>
      <c r="J178" s="60"/>
    </row>
    <row r="179" ht="15.75" customHeight="1">
      <c r="B179" s="60"/>
      <c r="J179" s="60"/>
    </row>
    <row r="180" ht="15.75" customHeight="1">
      <c r="B180" s="60"/>
      <c r="J180" s="60"/>
    </row>
    <row r="181" ht="15.75" customHeight="1">
      <c r="B181" s="60"/>
      <c r="J181" s="60"/>
    </row>
    <row r="182" ht="15.75" customHeight="1">
      <c r="B182" s="60"/>
      <c r="J182" s="60"/>
    </row>
    <row r="183" ht="15.75" customHeight="1">
      <c r="B183" s="60"/>
      <c r="J183" s="60"/>
    </row>
    <row r="184" ht="15.75" customHeight="1">
      <c r="B184" s="60"/>
      <c r="J184" s="60"/>
    </row>
    <row r="185" ht="15.75" customHeight="1">
      <c r="B185" s="60"/>
      <c r="J185" s="60"/>
    </row>
    <row r="186" ht="15.75" customHeight="1">
      <c r="B186" s="60"/>
      <c r="J186" s="60"/>
    </row>
    <row r="187" ht="15.75" customHeight="1">
      <c r="B187" s="60"/>
      <c r="J187" s="60"/>
    </row>
    <row r="188" ht="15.75" customHeight="1">
      <c r="B188" s="60"/>
      <c r="J188" s="60"/>
    </row>
    <row r="189" ht="15.75" customHeight="1">
      <c r="B189" s="60"/>
      <c r="J189" s="60"/>
    </row>
    <row r="190" ht="15.75" customHeight="1">
      <c r="B190" s="60"/>
      <c r="J190" s="60"/>
    </row>
    <row r="191" ht="15.75" customHeight="1">
      <c r="B191" s="60"/>
      <c r="J191" s="60"/>
    </row>
    <row r="192" ht="15.75" customHeight="1">
      <c r="B192" s="60"/>
      <c r="J192" s="60"/>
    </row>
    <row r="193" ht="15.75" customHeight="1">
      <c r="B193" s="60"/>
      <c r="J193" s="60"/>
    </row>
    <row r="194" ht="15.75" customHeight="1">
      <c r="B194" s="60"/>
      <c r="J194" s="60"/>
    </row>
    <row r="195" ht="15.75" customHeight="1">
      <c r="B195" s="60"/>
      <c r="J195" s="60"/>
    </row>
    <row r="196" ht="15.75" customHeight="1">
      <c r="B196" s="60"/>
      <c r="J196" s="60"/>
    </row>
    <row r="197" ht="15.75" customHeight="1">
      <c r="B197" s="60"/>
      <c r="J197" s="60"/>
    </row>
    <row r="198" ht="15.75" customHeight="1">
      <c r="B198" s="60"/>
      <c r="J198" s="60"/>
    </row>
    <row r="199" ht="15.75" customHeight="1">
      <c r="B199" s="60"/>
      <c r="J199" s="60"/>
    </row>
    <row r="200" ht="15.75" customHeight="1">
      <c r="B200" s="60"/>
      <c r="J200" s="60"/>
    </row>
    <row r="201" ht="15.75" customHeight="1">
      <c r="B201" s="60"/>
      <c r="J201" s="60"/>
    </row>
    <row r="202" ht="15.75" customHeight="1">
      <c r="B202" s="60"/>
      <c r="J202" s="60"/>
    </row>
    <row r="203" ht="15.75" customHeight="1">
      <c r="B203" s="60"/>
      <c r="J203" s="60"/>
    </row>
    <row r="204" ht="15.75" customHeight="1">
      <c r="B204" s="60"/>
      <c r="J204" s="60"/>
    </row>
    <row r="205" ht="15.75" customHeight="1">
      <c r="B205" s="60"/>
      <c r="J205" s="60"/>
    </row>
    <row r="206" ht="15.75" customHeight="1">
      <c r="B206" s="60"/>
      <c r="J206" s="60"/>
    </row>
    <row r="207" ht="15.75" customHeight="1">
      <c r="B207" s="60"/>
      <c r="J207" s="60"/>
    </row>
    <row r="208" ht="15.75" customHeight="1">
      <c r="B208" s="60"/>
      <c r="J208" s="60"/>
    </row>
    <row r="209" ht="15.75" customHeight="1">
      <c r="B209" s="60"/>
      <c r="J209" s="60"/>
    </row>
    <row r="210" ht="15.75" customHeight="1">
      <c r="B210" s="60"/>
      <c r="J210" s="60"/>
    </row>
    <row r="211" ht="15.75" customHeight="1">
      <c r="B211" s="60"/>
      <c r="J211" s="60"/>
    </row>
    <row r="212" ht="15.75" customHeight="1">
      <c r="B212" s="60"/>
      <c r="J212" s="60"/>
    </row>
    <row r="213" ht="15.75" customHeight="1">
      <c r="B213" s="60"/>
      <c r="J213" s="60"/>
    </row>
    <row r="214" ht="15.75" customHeight="1">
      <c r="B214" s="60"/>
      <c r="J214" s="60"/>
    </row>
    <row r="215" ht="15.75" customHeight="1">
      <c r="B215" s="60"/>
      <c r="J215" s="60"/>
    </row>
    <row r="216" ht="15.75" customHeight="1">
      <c r="B216" s="60"/>
      <c r="J216" s="60"/>
    </row>
    <row r="217" ht="15.75" customHeight="1">
      <c r="B217" s="60"/>
      <c r="J217" s="60"/>
    </row>
    <row r="218" ht="15.75" customHeight="1">
      <c r="B218" s="60"/>
      <c r="J218" s="60"/>
    </row>
    <row r="219" ht="15.75" customHeight="1">
      <c r="B219" s="60"/>
      <c r="J219" s="60"/>
    </row>
    <row r="220" ht="15.75" customHeight="1">
      <c r="B220" s="60"/>
      <c r="J220" s="60"/>
    </row>
    <row r="221" ht="15.75" customHeight="1">
      <c r="B221" s="60"/>
      <c r="J221" s="60"/>
    </row>
    <row r="222" ht="15.75" customHeight="1">
      <c r="B222" s="60"/>
      <c r="J222" s="60"/>
    </row>
    <row r="223" ht="15.75" customHeight="1">
      <c r="B223" s="60"/>
      <c r="J223" s="60"/>
    </row>
    <row r="224" ht="15.75" customHeight="1">
      <c r="B224" s="60"/>
      <c r="J224" s="60"/>
    </row>
    <row r="225" ht="15.75" customHeight="1">
      <c r="B225" s="60"/>
      <c r="J225" s="60"/>
    </row>
    <row r="226" ht="15.75" customHeight="1">
      <c r="B226" s="60"/>
      <c r="J226" s="60"/>
    </row>
    <row r="227" ht="15.75" customHeight="1">
      <c r="B227" s="60"/>
      <c r="J227" s="60"/>
    </row>
    <row r="228" ht="15.75" customHeight="1">
      <c r="B228" s="60"/>
      <c r="J228" s="60"/>
    </row>
    <row r="229" ht="15.75" customHeight="1">
      <c r="B229" s="60"/>
      <c r="J229" s="60"/>
    </row>
    <row r="230" ht="15.75" customHeight="1">
      <c r="B230" s="60"/>
      <c r="J230" s="60"/>
    </row>
    <row r="231" ht="15.75" customHeight="1">
      <c r="B231" s="60"/>
      <c r="J231" s="60"/>
    </row>
    <row r="232" ht="15.75" customHeight="1">
      <c r="B232" s="60"/>
      <c r="J232" s="60"/>
    </row>
    <row r="233" ht="15.75" customHeight="1">
      <c r="B233" s="60"/>
      <c r="J233" s="60"/>
    </row>
    <row r="234" ht="15.75" customHeight="1">
      <c r="B234" s="60"/>
      <c r="J234" s="60"/>
    </row>
    <row r="235" ht="15.75" customHeight="1">
      <c r="B235" s="60"/>
      <c r="J235" s="60"/>
    </row>
    <row r="236" ht="15.75" customHeight="1">
      <c r="B236" s="60"/>
      <c r="J236" s="60"/>
    </row>
    <row r="237" ht="15.75" customHeight="1">
      <c r="B237" s="60"/>
      <c r="J237" s="60"/>
    </row>
    <row r="238" ht="15.75" customHeight="1">
      <c r="B238" s="60"/>
      <c r="J238" s="60"/>
    </row>
    <row r="239" ht="15.75" customHeight="1">
      <c r="B239" s="60"/>
      <c r="J239" s="60"/>
    </row>
    <row r="240" ht="15.75" customHeight="1">
      <c r="B240" s="60"/>
      <c r="J240" s="60"/>
    </row>
    <row r="241" ht="15.75" customHeight="1">
      <c r="B241" s="60"/>
      <c r="J241" s="60"/>
    </row>
    <row r="242" ht="15.75" customHeight="1">
      <c r="B242" s="60"/>
      <c r="J242" s="60"/>
    </row>
    <row r="243" ht="15.75" customHeight="1">
      <c r="B243" s="60"/>
      <c r="J243" s="60"/>
    </row>
    <row r="244" ht="15.75" customHeight="1">
      <c r="B244" s="60"/>
      <c r="J244" s="60"/>
    </row>
    <row r="245" ht="15.75" customHeight="1">
      <c r="B245" s="60"/>
      <c r="J245" s="60"/>
    </row>
    <row r="246" ht="15.75" customHeight="1">
      <c r="B246" s="60"/>
      <c r="J246" s="60"/>
    </row>
    <row r="247" ht="15.75" customHeight="1">
      <c r="B247" s="60"/>
      <c r="J247" s="60"/>
    </row>
    <row r="248" ht="15.75" customHeight="1">
      <c r="B248" s="60"/>
      <c r="J248" s="60"/>
    </row>
    <row r="249" ht="15.75" customHeight="1">
      <c r="B249" s="60"/>
      <c r="J249" s="60"/>
    </row>
    <row r="250" ht="15.75" customHeight="1">
      <c r="B250" s="60"/>
      <c r="J250" s="60"/>
    </row>
    <row r="251" ht="15.75" customHeight="1">
      <c r="B251" s="60"/>
      <c r="J251" s="60"/>
    </row>
    <row r="252" ht="15.75" customHeight="1">
      <c r="B252" s="60"/>
      <c r="J252" s="60"/>
    </row>
    <row r="253" ht="15.75" customHeight="1">
      <c r="B253" s="60"/>
      <c r="J253" s="60"/>
    </row>
    <row r="254" ht="15.75" customHeight="1">
      <c r="B254" s="60"/>
      <c r="J254" s="60"/>
    </row>
    <row r="255" ht="15.75" customHeight="1">
      <c r="B255" s="60"/>
      <c r="J255" s="60"/>
    </row>
    <row r="256" ht="15.75" customHeight="1">
      <c r="B256" s="60"/>
      <c r="J256" s="60"/>
    </row>
    <row r="257" ht="15.75" customHeight="1">
      <c r="B257" s="60"/>
      <c r="J257" s="60"/>
    </row>
    <row r="258" ht="15.75" customHeight="1">
      <c r="B258" s="60"/>
      <c r="J258" s="60"/>
    </row>
    <row r="259" ht="15.75" customHeight="1">
      <c r="B259" s="60"/>
      <c r="J259" s="60"/>
    </row>
    <row r="260" ht="15.75" customHeight="1">
      <c r="B260" s="60"/>
      <c r="J260" s="60"/>
    </row>
    <row r="261" ht="15.75" customHeight="1">
      <c r="B261" s="60"/>
      <c r="J261" s="60"/>
    </row>
    <row r="262" ht="15.75" customHeight="1">
      <c r="B262" s="60"/>
      <c r="J262" s="60"/>
    </row>
    <row r="263" ht="15.75" customHeight="1">
      <c r="B263" s="60"/>
      <c r="J263" s="60"/>
    </row>
    <row r="264" ht="15.75" customHeight="1">
      <c r="B264" s="60"/>
      <c r="J264" s="60"/>
    </row>
    <row r="265" ht="15.75" customHeight="1">
      <c r="B265" s="60"/>
      <c r="J265" s="60"/>
    </row>
    <row r="266" ht="15.75" customHeight="1">
      <c r="B266" s="60"/>
      <c r="J266" s="60"/>
    </row>
    <row r="267" ht="15.75" customHeight="1">
      <c r="B267" s="60"/>
      <c r="J267" s="60"/>
    </row>
    <row r="268" ht="15.75" customHeight="1">
      <c r="B268" s="60"/>
      <c r="J268" s="60"/>
    </row>
    <row r="269" ht="15.75" customHeight="1">
      <c r="B269" s="60"/>
      <c r="J269" s="60"/>
    </row>
    <row r="270" ht="15.75" customHeight="1">
      <c r="B270" s="60"/>
      <c r="J270" s="60"/>
    </row>
    <row r="271" ht="15.75" customHeight="1">
      <c r="B271" s="60"/>
      <c r="J271" s="60"/>
    </row>
    <row r="272" ht="15.75" customHeight="1">
      <c r="B272" s="60"/>
      <c r="J272" s="60"/>
    </row>
    <row r="273" ht="15.75" customHeight="1">
      <c r="B273" s="60"/>
      <c r="J273" s="60"/>
    </row>
    <row r="274" ht="15.75" customHeight="1">
      <c r="B274" s="60"/>
      <c r="J274" s="60"/>
    </row>
    <row r="275" ht="15.75" customHeight="1">
      <c r="B275" s="60"/>
      <c r="J275" s="60"/>
    </row>
    <row r="276" ht="15.75" customHeight="1">
      <c r="B276" s="60"/>
      <c r="J276" s="60"/>
    </row>
    <row r="277" ht="15.75" customHeight="1">
      <c r="B277" s="60"/>
      <c r="J277" s="60"/>
    </row>
    <row r="278" ht="15.75" customHeight="1">
      <c r="B278" s="60"/>
      <c r="J278" s="60"/>
    </row>
    <row r="279" ht="15.75" customHeight="1">
      <c r="B279" s="60"/>
      <c r="J279" s="60"/>
    </row>
    <row r="280" ht="15.75" customHeight="1">
      <c r="B280" s="60"/>
      <c r="J280" s="60"/>
    </row>
    <row r="281" ht="15.75" customHeight="1">
      <c r="B281" s="60"/>
      <c r="J281" s="60"/>
    </row>
    <row r="282" ht="15.75" customHeight="1">
      <c r="B282" s="60"/>
      <c r="J282" s="60"/>
    </row>
    <row r="283" ht="15.75" customHeight="1">
      <c r="B283" s="60"/>
      <c r="J283" s="60"/>
    </row>
    <row r="284" ht="15.75" customHeight="1">
      <c r="B284" s="60"/>
      <c r="J284" s="60"/>
    </row>
    <row r="285" ht="15.75" customHeight="1">
      <c r="B285" s="60"/>
      <c r="J285" s="60"/>
    </row>
    <row r="286" ht="15.75" customHeight="1">
      <c r="B286" s="60"/>
      <c r="J286" s="60"/>
    </row>
    <row r="287" ht="15.75" customHeight="1">
      <c r="B287" s="60"/>
      <c r="J287" s="60"/>
    </row>
    <row r="288" ht="15.75" customHeight="1">
      <c r="B288" s="60"/>
      <c r="J288" s="60"/>
    </row>
    <row r="289" ht="15.75" customHeight="1">
      <c r="B289" s="60"/>
      <c r="J289" s="60"/>
    </row>
    <row r="290" ht="15.75" customHeight="1">
      <c r="B290" s="60"/>
      <c r="J290" s="60"/>
    </row>
    <row r="291" ht="15.75" customHeight="1">
      <c r="B291" s="60"/>
      <c r="J291" s="60"/>
    </row>
    <row r="292" ht="15.75" customHeight="1">
      <c r="B292" s="60"/>
      <c r="J292" s="60"/>
    </row>
    <row r="293" ht="15.75" customHeight="1">
      <c r="B293" s="60"/>
      <c r="J293" s="60"/>
    </row>
    <row r="294" ht="15.75" customHeight="1">
      <c r="B294" s="60"/>
      <c r="J294" s="60"/>
    </row>
    <row r="295" ht="15.75" customHeight="1">
      <c r="B295" s="60"/>
      <c r="J295" s="60"/>
    </row>
    <row r="296" ht="15.75" customHeight="1">
      <c r="B296" s="60"/>
      <c r="J296" s="60"/>
    </row>
    <row r="297" ht="15.75" customHeight="1">
      <c r="B297" s="60"/>
      <c r="J297" s="60"/>
    </row>
    <row r="298" ht="15.75" customHeight="1">
      <c r="B298" s="60"/>
      <c r="J298" s="60"/>
    </row>
    <row r="299" ht="15.75" customHeight="1">
      <c r="B299" s="60"/>
      <c r="J299" s="60"/>
    </row>
    <row r="300" ht="15.75" customHeight="1">
      <c r="B300" s="60"/>
      <c r="J300" s="60"/>
    </row>
    <row r="301" ht="15.75" customHeight="1">
      <c r="B301" s="60"/>
      <c r="J301" s="60"/>
    </row>
    <row r="302" ht="15.75" customHeight="1">
      <c r="B302" s="60"/>
      <c r="J302" s="60"/>
    </row>
    <row r="303" ht="15.75" customHeight="1">
      <c r="B303" s="60"/>
      <c r="J303" s="60"/>
    </row>
    <row r="304" ht="15.75" customHeight="1">
      <c r="B304" s="60"/>
      <c r="J304" s="60"/>
    </row>
    <row r="305" ht="15.75" customHeight="1">
      <c r="B305" s="60"/>
      <c r="J305" s="60"/>
    </row>
    <row r="306" ht="15.75" customHeight="1">
      <c r="B306" s="60"/>
      <c r="J306" s="60"/>
    </row>
    <row r="307" ht="15.75" customHeight="1">
      <c r="B307" s="60"/>
      <c r="J307" s="60"/>
    </row>
    <row r="308" ht="15.75" customHeight="1">
      <c r="B308" s="60"/>
      <c r="J308" s="60"/>
    </row>
    <row r="309" ht="15.75" customHeight="1">
      <c r="B309" s="60"/>
      <c r="J309" s="60"/>
    </row>
    <row r="310" ht="15.75" customHeight="1">
      <c r="B310" s="60"/>
      <c r="J310" s="60"/>
    </row>
    <row r="311" ht="15.75" customHeight="1">
      <c r="B311" s="60"/>
      <c r="J311" s="60"/>
    </row>
    <row r="312" ht="15.75" customHeight="1">
      <c r="B312" s="60"/>
      <c r="J312" s="60"/>
    </row>
    <row r="313" ht="15.75" customHeight="1">
      <c r="B313" s="60"/>
      <c r="J313" s="60"/>
    </row>
    <row r="314" ht="15.75" customHeight="1">
      <c r="B314" s="60"/>
      <c r="J314" s="60"/>
    </row>
    <row r="315" ht="15.75" customHeight="1">
      <c r="B315" s="60"/>
      <c r="J315" s="60"/>
    </row>
    <row r="316" ht="15.75" customHeight="1">
      <c r="B316" s="60"/>
      <c r="J316" s="60"/>
    </row>
    <row r="317" ht="15.75" customHeight="1">
      <c r="B317" s="60"/>
      <c r="J317" s="60"/>
    </row>
    <row r="318" ht="15.75" customHeight="1">
      <c r="B318" s="60"/>
      <c r="J318" s="60"/>
    </row>
    <row r="319" ht="15.75" customHeight="1">
      <c r="B319" s="60"/>
      <c r="J319" s="60"/>
    </row>
    <row r="320" ht="15.75" customHeight="1">
      <c r="B320" s="60"/>
      <c r="J320" s="60"/>
    </row>
    <row r="321" ht="15.75" customHeight="1">
      <c r="B321" s="60"/>
      <c r="J321" s="60"/>
    </row>
    <row r="322" ht="15.75" customHeight="1">
      <c r="B322" s="60"/>
      <c r="J322" s="60"/>
    </row>
    <row r="323" ht="15.75" customHeight="1">
      <c r="B323" s="60"/>
      <c r="J323" s="60"/>
    </row>
    <row r="324" ht="15.75" customHeight="1">
      <c r="B324" s="60"/>
      <c r="J324" s="60"/>
    </row>
    <row r="325" ht="15.75" customHeight="1">
      <c r="B325" s="60"/>
      <c r="J325" s="60"/>
    </row>
    <row r="326" ht="15.75" customHeight="1">
      <c r="B326" s="60"/>
      <c r="J326" s="60"/>
    </row>
    <row r="327" ht="15.75" customHeight="1">
      <c r="B327" s="60"/>
      <c r="J327" s="60"/>
    </row>
    <row r="328" ht="15.75" customHeight="1">
      <c r="B328" s="60"/>
      <c r="J328" s="60"/>
    </row>
    <row r="329" ht="15.75" customHeight="1">
      <c r="B329" s="60"/>
      <c r="J329" s="60"/>
    </row>
    <row r="330" ht="15.75" customHeight="1">
      <c r="B330" s="60"/>
      <c r="J330" s="60"/>
    </row>
    <row r="331" ht="15.75" customHeight="1">
      <c r="B331" s="60"/>
      <c r="J331" s="60"/>
    </row>
    <row r="332" ht="15.75" customHeight="1">
      <c r="B332" s="60"/>
      <c r="J332" s="60"/>
    </row>
    <row r="333" ht="15.75" customHeight="1">
      <c r="B333" s="60"/>
      <c r="J333" s="60"/>
    </row>
    <row r="334" ht="15.75" customHeight="1">
      <c r="B334" s="60"/>
      <c r="J334" s="60"/>
    </row>
    <row r="335" ht="15.75" customHeight="1">
      <c r="B335" s="60"/>
      <c r="J335" s="60"/>
    </row>
    <row r="336" ht="15.75" customHeight="1">
      <c r="B336" s="60"/>
      <c r="J336" s="60"/>
    </row>
    <row r="337" ht="15.75" customHeight="1">
      <c r="B337" s="60"/>
      <c r="J337" s="60"/>
    </row>
    <row r="338" ht="15.75" customHeight="1">
      <c r="B338" s="60"/>
      <c r="J338" s="60"/>
    </row>
    <row r="339" ht="15.75" customHeight="1">
      <c r="B339" s="60"/>
      <c r="J339" s="60"/>
    </row>
    <row r="340" ht="15.75" customHeight="1">
      <c r="B340" s="60"/>
      <c r="J340" s="60"/>
    </row>
    <row r="341" ht="15.75" customHeight="1">
      <c r="B341" s="60"/>
      <c r="J341" s="60"/>
    </row>
    <row r="342" ht="15.75" customHeight="1">
      <c r="B342" s="60"/>
      <c r="J342" s="60"/>
    </row>
    <row r="343" ht="15.75" customHeight="1">
      <c r="B343" s="60"/>
      <c r="J343" s="60"/>
    </row>
    <row r="344" ht="15.75" customHeight="1">
      <c r="B344" s="60"/>
      <c r="J344" s="60"/>
    </row>
    <row r="345" ht="15.75" customHeight="1">
      <c r="B345" s="60"/>
      <c r="J345" s="60"/>
    </row>
    <row r="346" ht="15.75" customHeight="1">
      <c r="B346" s="60"/>
      <c r="J346" s="60"/>
    </row>
    <row r="347" ht="15.75" customHeight="1">
      <c r="B347" s="60"/>
      <c r="J347" s="60"/>
    </row>
    <row r="348" ht="15.75" customHeight="1">
      <c r="B348" s="60"/>
      <c r="J348" s="60"/>
    </row>
    <row r="349" ht="15.75" customHeight="1">
      <c r="B349" s="60"/>
      <c r="J349" s="60"/>
    </row>
    <row r="350" ht="15.75" customHeight="1">
      <c r="B350" s="60"/>
      <c r="J350" s="60"/>
    </row>
    <row r="351" ht="15.75" customHeight="1">
      <c r="B351" s="60"/>
      <c r="J351" s="60"/>
    </row>
    <row r="352" ht="15.75" customHeight="1">
      <c r="B352" s="60"/>
      <c r="J352" s="60"/>
    </row>
    <row r="353" ht="15.75" customHeight="1">
      <c r="B353" s="60"/>
      <c r="J353" s="60"/>
    </row>
    <row r="354" ht="15.75" customHeight="1">
      <c r="B354" s="60"/>
      <c r="J354" s="60"/>
    </row>
    <row r="355" ht="15.75" customHeight="1">
      <c r="B355" s="60"/>
      <c r="J355" s="60"/>
    </row>
    <row r="356" ht="15.75" customHeight="1">
      <c r="B356" s="60"/>
      <c r="J356" s="60"/>
    </row>
    <row r="357" ht="15.75" customHeight="1">
      <c r="B357" s="60"/>
      <c r="J357" s="60"/>
    </row>
    <row r="358" ht="15.75" customHeight="1">
      <c r="B358" s="60"/>
      <c r="J358" s="60"/>
    </row>
    <row r="359" ht="15.75" customHeight="1">
      <c r="B359" s="60"/>
      <c r="J359" s="60"/>
    </row>
    <row r="360" ht="15.75" customHeight="1">
      <c r="B360" s="60"/>
      <c r="J360" s="60"/>
    </row>
    <row r="361" ht="15.75" customHeight="1">
      <c r="B361" s="60"/>
      <c r="J361" s="60"/>
    </row>
    <row r="362" ht="15.75" customHeight="1">
      <c r="B362" s="60"/>
      <c r="J362" s="60"/>
    </row>
    <row r="363" ht="15.75" customHeight="1">
      <c r="B363" s="60"/>
      <c r="J363" s="60"/>
    </row>
    <row r="364" ht="15.75" customHeight="1">
      <c r="B364" s="60"/>
      <c r="J364" s="60"/>
    </row>
    <row r="365" ht="15.75" customHeight="1">
      <c r="B365" s="60"/>
      <c r="J365" s="60"/>
    </row>
    <row r="366" ht="15.75" customHeight="1">
      <c r="B366" s="60"/>
      <c r="J366" s="60"/>
    </row>
    <row r="367" ht="15.75" customHeight="1">
      <c r="B367" s="60"/>
      <c r="J367" s="60"/>
    </row>
    <row r="368" ht="15.75" customHeight="1">
      <c r="B368" s="60"/>
      <c r="J368" s="60"/>
    </row>
    <row r="369" ht="15.75" customHeight="1">
      <c r="B369" s="60"/>
      <c r="J369" s="60"/>
    </row>
    <row r="370" ht="15.75" customHeight="1">
      <c r="B370" s="60"/>
      <c r="J370" s="60"/>
    </row>
    <row r="371" ht="15.75" customHeight="1">
      <c r="B371" s="60"/>
      <c r="J371" s="60"/>
    </row>
    <row r="372" ht="15.75" customHeight="1">
      <c r="B372" s="60"/>
      <c r="J372" s="60"/>
    </row>
    <row r="373" ht="15.75" customHeight="1">
      <c r="B373" s="60"/>
      <c r="J373" s="60"/>
    </row>
    <row r="374" ht="15.75" customHeight="1">
      <c r="B374" s="60"/>
      <c r="J374" s="60"/>
    </row>
    <row r="375" ht="15.75" customHeight="1">
      <c r="B375" s="60"/>
      <c r="J375" s="60"/>
    </row>
    <row r="376" ht="15.75" customHeight="1">
      <c r="B376" s="60"/>
      <c r="J376" s="60"/>
    </row>
    <row r="377" ht="15.75" customHeight="1">
      <c r="B377" s="60"/>
      <c r="J377" s="60"/>
    </row>
    <row r="378" ht="15.75" customHeight="1">
      <c r="B378" s="60"/>
      <c r="J378" s="60"/>
    </row>
    <row r="379" ht="15.75" customHeight="1">
      <c r="B379" s="60"/>
      <c r="J379" s="60"/>
    </row>
    <row r="380" ht="15.75" customHeight="1">
      <c r="B380" s="60"/>
      <c r="J380" s="60"/>
    </row>
    <row r="381" ht="15.75" customHeight="1">
      <c r="B381" s="60"/>
      <c r="J381" s="60"/>
    </row>
    <row r="382" ht="15.75" customHeight="1">
      <c r="B382" s="60"/>
      <c r="J382" s="60"/>
    </row>
    <row r="383" ht="15.75" customHeight="1">
      <c r="B383" s="60"/>
      <c r="J383" s="60"/>
    </row>
    <row r="384" ht="15.75" customHeight="1">
      <c r="B384" s="60"/>
      <c r="J384" s="60"/>
    </row>
    <row r="385" ht="15.75" customHeight="1">
      <c r="B385" s="60"/>
      <c r="J385" s="60"/>
    </row>
    <row r="386" ht="15.75" customHeight="1">
      <c r="B386" s="60"/>
      <c r="J386" s="60"/>
    </row>
    <row r="387" ht="15.75" customHeight="1">
      <c r="B387" s="60"/>
      <c r="J387" s="60"/>
    </row>
    <row r="388" ht="15.75" customHeight="1">
      <c r="B388" s="60"/>
      <c r="J388" s="60"/>
    </row>
    <row r="389" ht="15.75" customHeight="1">
      <c r="B389" s="60"/>
      <c r="J389" s="60"/>
    </row>
    <row r="390" ht="15.75" customHeight="1">
      <c r="B390" s="60"/>
      <c r="J390" s="60"/>
    </row>
    <row r="391" ht="15.75" customHeight="1">
      <c r="B391" s="60"/>
      <c r="J391" s="60"/>
    </row>
    <row r="392" ht="15.75" customHeight="1">
      <c r="B392" s="60"/>
      <c r="J392" s="60"/>
    </row>
    <row r="393" ht="15.75" customHeight="1">
      <c r="B393" s="60"/>
      <c r="J393" s="60"/>
    </row>
    <row r="394" ht="15.75" customHeight="1">
      <c r="B394" s="60"/>
      <c r="J394" s="60"/>
    </row>
    <row r="395" ht="15.75" customHeight="1">
      <c r="B395" s="60"/>
      <c r="J395" s="60"/>
    </row>
    <row r="396" ht="15.75" customHeight="1">
      <c r="B396" s="60"/>
      <c r="J396" s="60"/>
    </row>
    <row r="397" ht="15.75" customHeight="1">
      <c r="B397" s="60"/>
      <c r="J397" s="60"/>
    </row>
    <row r="398" ht="15.75" customHeight="1">
      <c r="B398" s="60"/>
      <c r="J398" s="60"/>
    </row>
    <row r="399" ht="15.75" customHeight="1">
      <c r="B399" s="60"/>
      <c r="J399" s="60"/>
    </row>
    <row r="400" ht="15.75" customHeight="1">
      <c r="B400" s="60"/>
      <c r="J400" s="60"/>
    </row>
    <row r="401" ht="15.75" customHeight="1">
      <c r="B401" s="60"/>
      <c r="J401" s="60"/>
    </row>
    <row r="402" ht="15.75" customHeight="1">
      <c r="B402" s="60"/>
      <c r="J402" s="60"/>
    </row>
    <row r="403" ht="15.75" customHeight="1">
      <c r="B403" s="60"/>
      <c r="J403" s="60"/>
    </row>
    <row r="404" ht="15.75" customHeight="1">
      <c r="B404" s="60"/>
      <c r="J404" s="60"/>
    </row>
    <row r="405" ht="15.75" customHeight="1">
      <c r="B405" s="60"/>
      <c r="J405" s="60"/>
    </row>
    <row r="406" ht="15.75" customHeight="1">
      <c r="B406" s="60"/>
      <c r="J406" s="60"/>
    </row>
    <row r="407" ht="15.75" customHeight="1">
      <c r="B407" s="60"/>
      <c r="J407" s="60"/>
    </row>
    <row r="408" ht="15.75" customHeight="1">
      <c r="B408" s="60"/>
      <c r="J408" s="60"/>
    </row>
    <row r="409" ht="15.75" customHeight="1">
      <c r="B409" s="60"/>
      <c r="J409" s="60"/>
    </row>
    <row r="410" ht="15.75" customHeight="1">
      <c r="B410" s="60"/>
      <c r="J410" s="60"/>
    </row>
    <row r="411" ht="15.75" customHeight="1">
      <c r="B411" s="60"/>
      <c r="J411" s="60"/>
    </row>
    <row r="412" ht="15.75" customHeight="1">
      <c r="B412" s="60"/>
      <c r="J412" s="60"/>
    </row>
    <row r="413" ht="15.75" customHeight="1">
      <c r="B413" s="60"/>
      <c r="J413" s="60"/>
    </row>
    <row r="414" ht="15.75" customHeight="1">
      <c r="B414" s="60"/>
      <c r="J414" s="60"/>
    </row>
    <row r="415" ht="15.75" customHeight="1">
      <c r="B415" s="60"/>
      <c r="J415" s="60"/>
    </row>
    <row r="416" ht="15.75" customHeight="1">
      <c r="B416" s="60"/>
      <c r="J416" s="60"/>
    </row>
    <row r="417" ht="15.75" customHeight="1">
      <c r="B417" s="60"/>
      <c r="J417" s="60"/>
    </row>
    <row r="418" ht="15.75" customHeight="1">
      <c r="B418" s="60"/>
      <c r="J418" s="60"/>
    </row>
    <row r="419" ht="15.75" customHeight="1">
      <c r="B419" s="60"/>
      <c r="J419" s="60"/>
    </row>
    <row r="420" ht="15.75" customHeight="1">
      <c r="B420" s="60"/>
      <c r="J420" s="60"/>
    </row>
    <row r="421" ht="15.75" customHeight="1">
      <c r="B421" s="60"/>
      <c r="J421" s="60"/>
    </row>
    <row r="422" ht="15.75" customHeight="1">
      <c r="B422" s="60"/>
      <c r="J422" s="60"/>
    </row>
    <row r="423" ht="15.75" customHeight="1">
      <c r="B423" s="60"/>
      <c r="J423" s="60"/>
    </row>
    <row r="424" ht="15.75" customHeight="1">
      <c r="B424" s="60"/>
      <c r="J424" s="60"/>
    </row>
    <row r="425" ht="15.75" customHeight="1">
      <c r="B425" s="60"/>
      <c r="J425" s="60"/>
    </row>
    <row r="426" ht="15.75" customHeight="1">
      <c r="B426" s="60"/>
      <c r="J426" s="60"/>
    </row>
    <row r="427" ht="15.75" customHeight="1">
      <c r="B427" s="60"/>
      <c r="J427" s="60"/>
    </row>
    <row r="428" ht="15.75" customHeight="1">
      <c r="B428" s="60"/>
      <c r="J428" s="60"/>
    </row>
    <row r="429" ht="15.75" customHeight="1">
      <c r="B429" s="60"/>
      <c r="J429" s="60"/>
    </row>
    <row r="430" ht="15.75" customHeight="1">
      <c r="B430" s="60"/>
      <c r="J430" s="60"/>
    </row>
    <row r="431" ht="15.75" customHeight="1">
      <c r="B431" s="60"/>
      <c r="J431" s="60"/>
    </row>
    <row r="432" ht="15.75" customHeight="1">
      <c r="B432" s="60"/>
      <c r="J432" s="60"/>
    </row>
    <row r="433" ht="15.75" customHeight="1">
      <c r="B433" s="60"/>
      <c r="J433" s="60"/>
    </row>
    <row r="434" ht="15.75" customHeight="1">
      <c r="B434" s="60"/>
      <c r="J434" s="60"/>
    </row>
    <row r="435" ht="15.75" customHeight="1">
      <c r="B435" s="60"/>
      <c r="J435" s="60"/>
    </row>
    <row r="436" ht="15.75" customHeight="1">
      <c r="B436" s="60"/>
      <c r="J436" s="60"/>
    </row>
    <row r="437" ht="15.75" customHeight="1">
      <c r="B437" s="60"/>
      <c r="J437" s="60"/>
    </row>
    <row r="438" ht="15.75" customHeight="1">
      <c r="B438" s="60"/>
      <c r="J438" s="60"/>
    </row>
    <row r="439" ht="15.75" customHeight="1">
      <c r="B439" s="60"/>
      <c r="J439" s="60"/>
    </row>
    <row r="440" ht="15.75" customHeight="1">
      <c r="B440" s="60"/>
      <c r="J440" s="60"/>
    </row>
    <row r="441" ht="15.75" customHeight="1">
      <c r="B441" s="60"/>
      <c r="J441" s="60"/>
    </row>
    <row r="442" ht="15.75" customHeight="1">
      <c r="B442" s="60"/>
      <c r="J442" s="60"/>
    </row>
    <row r="443" ht="15.75" customHeight="1">
      <c r="B443" s="60"/>
      <c r="J443" s="60"/>
    </row>
    <row r="444" ht="15.75" customHeight="1">
      <c r="B444" s="60"/>
      <c r="J444" s="60"/>
    </row>
    <row r="445" ht="15.75" customHeight="1">
      <c r="B445" s="60"/>
      <c r="J445" s="60"/>
    </row>
    <row r="446" ht="15.75" customHeight="1">
      <c r="B446" s="60"/>
      <c r="J446" s="60"/>
    </row>
    <row r="447" ht="15.75" customHeight="1">
      <c r="B447" s="60"/>
      <c r="J447" s="60"/>
    </row>
    <row r="448" ht="15.75" customHeight="1">
      <c r="B448" s="60"/>
      <c r="J448" s="60"/>
    </row>
    <row r="449" ht="15.75" customHeight="1">
      <c r="B449" s="60"/>
      <c r="J449" s="60"/>
    </row>
    <row r="450" ht="15.75" customHeight="1">
      <c r="B450" s="60"/>
      <c r="J450" s="60"/>
    </row>
    <row r="451" ht="15.75" customHeight="1">
      <c r="B451" s="60"/>
      <c r="J451" s="60"/>
    </row>
    <row r="452" ht="15.75" customHeight="1">
      <c r="B452" s="60"/>
      <c r="J452" s="60"/>
    </row>
    <row r="453" ht="15.75" customHeight="1">
      <c r="B453" s="60"/>
      <c r="J453" s="60"/>
    </row>
    <row r="454" ht="15.75" customHeight="1">
      <c r="B454" s="60"/>
      <c r="J454" s="60"/>
    </row>
    <row r="455" ht="15.75" customHeight="1">
      <c r="B455" s="60"/>
      <c r="J455" s="60"/>
    </row>
    <row r="456" ht="15.75" customHeight="1">
      <c r="B456" s="60"/>
      <c r="J456" s="60"/>
    </row>
    <row r="457" ht="15.75" customHeight="1">
      <c r="B457" s="60"/>
      <c r="J457" s="60"/>
    </row>
    <row r="458" ht="15.75" customHeight="1">
      <c r="B458" s="60"/>
      <c r="J458" s="60"/>
    </row>
    <row r="459" ht="15.75" customHeight="1">
      <c r="B459" s="60"/>
      <c r="J459" s="60"/>
    </row>
    <row r="460" ht="15.75" customHeight="1">
      <c r="B460" s="60"/>
      <c r="J460" s="60"/>
    </row>
    <row r="461" ht="15.75" customHeight="1">
      <c r="B461" s="60"/>
      <c r="J461" s="60"/>
    </row>
    <row r="462" ht="15.75" customHeight="1">
      <c r="B462" s="60"/>
      <c r="J462" s="60"/>
    </row>
    <row r="463" ht="15.75" customHeight="1">
      <c r="B463" s="60"/>
      <c r="J463" s="60"/>
    </row>
    <row r="464" ht="15.75" customHeight="1">
      <c r="B464" s="60"/>
      <c r="J464" s="60"/>
    </row>
    <row r="465" ht="15.75" customHeight="1">
      <c r="B465" s="60"/>
      <c r="J465" s="60"/>
    </row>
    <row r="466" ht="15.75" customHeight="1">
      <c r="B466" s="60"/>
      <c r="J466" s="60"/>
    </row>
    <row r="467" ht="15.75" customHeight="1">
      <c r="B467" s="60"/>
      <c r="J467" s="60"/>
    </row>
    <row r="468" ht="15.75" customHeight="1">
      <c r="B468" s="60"/>
      <c r="J468" s="60"/>
    </row>
    <row r="469" ht="15.75" customHeight="1">
      <c r="B469" s="60"/>
      <c r="J469" s="60"/>
    </row>
    <row r="470" ht="15.75" customHeight="1">
      <c r="B470" s="60"/>
      <c r="J470" s="60"/>
    </row>
    <row r="471" ht="15.75" customHeight="1">
      <c r="B471" s="60"/>
      <c r="J471" s="60"/>
    </row>
    <row r="472" ht="15.75" customHeight="1">
      <c r="B472" s="60"/>
      <c r="J472" s="60"/>
    </row>
    <row r="473" ht="15.75" customHeight="1">
      <c r="B473" s="60"/>
      <c r="J473" s="60"/>
    </row>
    <row r="474" ht="15.75" customHeight="1">
      <c r="B474" s="60"/>
      <c r="J474" s="60"/>
    </row>
    <row r="475" ht="15.75" customHeight="1">
      <c r="B475" s="60"/>
      <c r="J475" s="60"/>
    </row>
    <row r="476" ht="15.75" customHeight="1">
      <c r="B476" s="60"/>
      <c r="J476" s="60"/>
    </row>
    <row r="477" ht="15.75" customHeight="1">
      <c r="B477" s="60"/>
      <c r="J477" s="60"/>
    </row>
    <row r="478" ht="15.75" customHeight="1">
      <c r="B478" s="60"/>
      <c r="J478" s="60"/>
    </row>
    <row r="479" ht="15.75" customHeight="1">
      <c r="B479" s="60"/>
      <c r="J479" s="60"/>
    </row>
    <row r="480" ht="15.75" customHeight="1">
      <c r="B480" s="60"/>
      <c r="J480" s="60"/>
    </row>
    <row r="481" ht="15.75" customHeight="1">
      <c r="B481" s="60"/>
      <c r="J481" s="60"/>
    </row>
    <row r="482" ht="15.75" customHeight="1">
      <c r="B482" s="60"/>
      <c r="J482" s="60"/>
    </row>
    <row r="483" ht="15.75" customHeight="1">
      <c r="B483" s="60"/>
      <c r="J483" s="60"/>
    </row>
    <row r="484" ht="15.75" customHeight="1">
      <c r="B484" s="60"/>
      <c r="J484" s="60"/>
    </row>
    <row r="485" ht="15.75" customHeight="1">
      <c r="B485" s="60"/>
      <c r="J485" s="60"/>
    </row>
    <row r="486" ht="15.75" customHeight="1">
      <c r="B486" s="60"/>
      <c r="J486" s="60"/>
    </row>
    <row r="487" ht="15.75" customHeight="1">
      <c r="B487" s="60"/>
      <c r="J487" s="60"/>
    </row>
    <row r="488" ht="15.75" customHeight="1">
      <c r="B488" s="60"/>
      <c r="J488" s="60"/>
    </row>
    <row r="489" ht="15.75" customHeight="1">
      <c r="B489" s="60"/>
      <c r="J489" s="60"/>
    </row>
    <row r="490" ht="15.75" customHeight="1">
      <c r="B490" s="60"/>
      <c r="J490" s="60"/>
    </row>
    <row r="491" ht="15.75" customHeight="1">
      <c r="B491" s="60"/>
      <c r="J491" s="60"/>
    </row>
    <row r="492" ht="15.75" customHeight="1">
      <c r="B492" s="60"/>
      <c r="J492" s="60"/>
    </row>
    <row r="493" ht="15.75" customHeight="1">
      <c r="B493" s="60"/>
      <c r="J493" s="60"/>
    </row>
    <row r="494" ht="15.75" customHeight="1">
      <c r="B494" s="60"/>
      <c r="J494" s="60"/>
    </row>
    <row r="495" ht="15.75" customHeight="1">
      <c r="B495" s="60"/>
      <c r="J495" s="60"/>
    </row>
    <row r="496" ht="15.75" customHeight="1">
      <c r="B496" s="60"/>
      <c r="J496" s="60"/>
    </row>
    <row r="497" ht="15.75" customHeight="1">
      <c r="B497" s="60"/>
      <c r="J497" s="60"/>
    </row>
    <row r="498" ht="15.75" customHeight="1">
      <c r="B498" s="60"/>
      <c r="J498" s="60"/>
    </row>
    <row r="499" ht="15.75" customHeight="1">
      <c r="B499" s="60"/>
      <c r="J499" s="60"/>
    </row>
    <row r="500" ht="15.75" customHeight="1">
      <c r="B500" s="60"/>
      <c r="J500" s="60"/>
    </row>
    <row r="501" ht="15.75" customHeight="1">
      <c r="B501" s="60"/>
      <c r="J501" s="60"/>
    </row>
    <row r="502" ht="15.75" customHeight="1">
      <c r="B502" s="60"/>
      <c r="J502" s="60"/>
    </row>
    <row r="503" ht="15.75" customHeight="1">
      <c r="B503" s="60"/>
      <c r="J503" s="60"/>
    </row>
    <row r="504" ht="15.75" customHeight="1">
      <c r="B504" s="60"/>
      <c r="J504" s="60"/>
    </row>
    <row r="505" ht="15.75" customHeight="1">
      <c r="B505" s="60"/>
      <c r="J505" s="60"/>
    </row>
    <row r="506" ht="15.75" customHeight="1">
      <c r="B506" s="60"/>
      <c r="J506" s="60"/>
    </row>
    <row r="507" ht="15.75" customHeight="1">
      <c r="B507" s="60"/>
      <c r="J507" s="60"/>
    </row>
    <row r="508" ht="15.75" customHeight="1">
      <c r="B508" s="60"/>
      <c r="J508" s="60"/>
    </row>
    <row r="509" ht="15.75" customHeight="1">
      <c r="B509" s="60"/>
      <c r="J509" s="60"/>
    </row>
    <row r="510" ht="15.75" customHeight="1">
      <c r="B510" s="60"/>
      <c r="J510" s="60"/>
    </row>
    <row r="511" ht="15.75" customHeight="1">
      <c r="B511" s="60"/>
      <c r="J511" s="60"/>
    </row>
    <row r="512" ht="15.75" customHeight="1">
      <c r="B512" s="60"/>
      <c r="J512" s="60"/>
    </row>
    <row r="513" ht="15.75" customHeight="1">
      <c r="B513" s="60"/>
      <c r="J513" s="60"/>
    </row>
    <row r="514" ht="15.75" customHeight="1">
      <c r="B514" s="60"/>
      <c r="J514" s="60"/>
    </row>
    <row r="515" ht="15.75" customHeight="1">
      <c r="B515" s="60"/>
      <c r="J515" s="60"/>
    </row>
    <row r="516" ht="15.75" customHeight="1">
      <c r="B516" s="60"/>
      <c r="J516" s="60"/>
    </row>
    <row r="517" ht="15.75" customHeight="1">
      <c r="B517" s="60"/>
      <c r="J517" s="60"/>
    </row>
    <row r="518" ht="15.75" customHeight="1">
      <c r="B518" s="60"/>
      <c r="J518" s="60"/>
    </row>
    <row r="519" ht="15.75" customHeight="1">
      <c r="B519" s="60"/>
      <c r="J519" s="60"/>
    </row>
    <row r="520" ht="15.75" customHeight="1">
      <c r="B520" s="60"/>
      <c r="J520" s="60"/>
    </row>
    <row r="521" ht="15.75" customHeight="1">
      <c r="B521" s="60"/>
      <c r="J521" s="60"/>
    </row>
    <row r="522" ht="15.75" customHeight="1">
      <c r="B522" s="60"/>
      <c r="J522" s="60"/>
    </row>
    <row r="523" ht="15.75" customHeight="1">
      <c r="B523" s="60"/>
      <c r="J523" s="60"/>
    </row>
    <row r="524" ht="15.75" customHeight="1">
      <c r="B524" s="60"/>
      <c r="J524" s="60"/>
    </row>
    <row r="525" ht="15.75" customHeight="1">
      <c r="B525" s="60"/>
      <c r="J525" s="60"/>
    </row>
    <row r="526" ht="15.75" customHeight="1">
      <c r="B526" s="60"/>
      <c r="J526" s="60"/>
    </row>
    <row r="527" ht="15.75" customHeight="1">
      <c r="B527" s="60"/>
      <c r="J527" s="60"/>
    </row>
    <row r="528" ht="15.75" customHeight="1">
      <c r="B528" s="60"/>
      <c r="J528" s="60"/>
    </row>
    <row r="529" ht="15.75" customHeight="1">
      <c r="B529" s="60"/>
      <c r="J529" s="60"/>
    </row>
    <row r="530" ht="15.75" customHeight="1">
      <c r="B530" s="60"/>
      <c r="J530" s="60"/>
    </row>
    <row r="531" ht="15.75" customHeight="1">
      <c r="B531" s="60"/>
      <c r="J531" s="60"/>
    </row>
    <row r="532" ht="15.75" customHeight="1">
      <c r="B532" s="60"/>
      <c r="J532" s="60"/>
    </row>
    <row r="533" ht="15.75" customHeight="1">
      <c r="B533" s="60"/>
      <c r="J533" s="60"/>
    </row>
    <row r="534" ht="15.75" customHeight="1">
      <c r="B534" s="60"/>
      <c r="J534" s="60"/>
    </row>
    <row r="535" ht="15.75" customHeight="1">
      <c r="B535" s="60"/>
      <c r="J535" s="60"/>
    </row>
    <row r="536" ht="15.75" customHeight="1">
      <c r="B536" s="60"/>
      <c r="J536" s="60"/>
    </row>
    <row r="537" ht="15.75" customHeight="1">
      <c r="B537" s="60"/>
      <c r="J537" s="60"/>
    </row>
    <row r="538" ht="15.75" customHeight="1">
      <c r="B538" s="60"/>
      <c r="J538" s="60"/>
    </row>
    <row r="539" ht="15.75" customHeight="1">
      <c r="B539" s="60"/>
      <c r="J539" s="60"/>
    </row>
    <row r="540" ht="15.75" customHeight="1">
      <c r="B540" s="60"/>
      <c r="J540" s="60"/>
    </row>
    <row r="541" ht="15.75" customHeight="1">
      <c r="B541" s="60"/>
      <c r="J541" s="60"/>
    </row>
    <row r="542" ht="15.75" customHeight="1">
      <c r="B542" s="60"/>
      <c r="J542" s="60"/>
    </row>
    <row r="543" ht="15.75" customHeight="1">
      <c r="B543" s="60"/>
      <c r="J543" s="60"/>
    </row>
    <row r="544" ht="15.75" customHeight="1">
      <c r="B544" s="60"/>
      <c r="J544" s="60"/>
    </row>
    <row r="545" ht="15.75" customHeight="1">
      <c r="B545" s="60"/>
      <c r="J545" s="60"/>
    </row>
    <row r="546" ht="15.75" customHeight="1">
      <c r="B546" s="60"/>
      <c r="J546" s="60"/>
    </row>
    <row r="547" ht="15.75" customHeight="1">
      <c r="B547" s="60"/>
      <c r="J547" s="60"/>
    </row>
    <row r="548" ht="15.75" customHeight="1">
      <c r="B548" s="60"/>
      <c r="J548" s="60"/>
    </row>
    <row r="549" ht="15.75" customHeight="1">
      <c r="B549" s="60"/>
      <c r="J549" s="60"/>
    </row>
    <row r="550" ht="15.75" customHeight="1">
      <c r="B550" s="60"/>
      <c r="J550" s="60"/>
    </row>
    <row r="551" ht="15.75" customHeight="1">
      <c r="B551" s="60"/>
      <c r="J551" s="60"/>
    </row>
    <row r="552" ht="15.75" customHeight="1">
      <c r="B552" s="60"/>
      <c r="J552" s="60"/>
    </row>
    <row r="553" ht="15.75" customHeight="1">
      <c r="B553" s="60"/>
      <c r="J553" s="60"/>
    </row>
    <row r="554" ht="15.75" customHeight="1">
      <c r="B554" s="60"/>
      <c r="J554" s="60"/>
    </row>
    <row r="555" ht="15.75" customHeight="1">
      <c r="B555" s="60"/>
      <c r="J555" s="60"/>
    </row>
    <row r="556" ht="15.75" customHeight="1">
      <c r="B556" s="60"/>
      <c r="J556" s="60"/>
    </row>
    <row r="557" ht="15.75" customHeight="1">
      <c r="B557" s="60"/>
      <c r="J557" s="60"/>
    </row>
    <row r="558" ht="15.75" customHeight="1">
      <c r="B558" s="60"/>
      <c r="J558" s="60"/>
    </row>
    <row r="559" ht="15.75" customHeight="1">
      <c r="B559" s="60"/>
      <c r="J559" s="60"/>
    </row>
    <row r="560" ht="15.75" customHeight="1">
      <c r="B560" s="60"/>
      <c r="J560" s="60"/>
    </row>
    <row r="561" ht="15.75" customHeight="1">
      <c r="B561" s="60"/>
      <c r="J561" s="60"/>
    </row>
    <row r="562" ht="15.75" customHeight="1">
      <c r="B562" s="60"/>
      <c r="J562" s="60"/>
    </row>
    <row r="563" ht="15.75" customHeight="1">
      <c r="B563" s="60"/>
      <c r="J563" s="60"/>
    </row>
    <row r="564" ht="15.75" customHeight="1">
      <c r="B564" s="60"/>
      <c r="J564" s="60"/>
    </row>
    <row r="565" ht="15.75" customHeight="1">
      <c r="B565" s="60"/>
      <c r="J565" s="60"/>
    </row>
    <row r="566" ht="15.75" customHeight="1">
      <c r="B566" s="60"/>
      <c r="J566" s="60"/>
    </row>
    <row r="567" ht="15.75" customHeight="1">
      <c r="B567" s="60"/>
      <c r="J567" s="60"/>
    </row>
    <row r="568" ht="15.75" customHeight="1">
      <c r="B568" s="60"/>
      <c r="J568" s="60"/>
    </row>
    <row r="569" ht="15.75" customHeight="1">
      <c r="B569" s="60"/>
      <c r="J569" s="60"/>
    </row>
    <row r="570" ht="15.75" customHeight="1">
      <c r="B570" s="60"/>
      <c r="J570" s="60"/>
    </row>
    <row r="571" ht="15.75" customHeight="1">
      <c r="B571" s="60"/>
      <c r="J571" s="60"/>
    </row>
    <row r="572" ht="15.75" customHeight="1">
      <c r="B572" s="60"/>
      <c r="J572" s="60"/>
    </row>
    <row r="573" ht="15.75" customHeight="1">
      <c r="B573" s="60"/>
      <c r="J573" s="60"/>
    </row>
    <row r="574" ht="15.75" customHeight="1">
      <c r="B574" s="60"/>
      <c r="J574" s="60"/>
    </row>
    <row r="575" ht="15.75" customHeight="1">
      <c r="B575" s="60"/>
      <c r="J575" s="60"/>
    </row>
    <row r="576" ht="15.75" customHeight="1">
      <c r="B576" s="60"/>
      <c r="J576" s="60"/>
    </row>
    <row r="577" ht="15.75" customHeight="1">
      <c r="B577" s="60"/>
      <c r="J577" s="60"/>
    </row>
    <row r="578" ht="15.75" customHeight="1">
      <c r="B578" s="60"/>
      <c r="J578" s="60"/>
    </row>
    <row r="579" ht="15.75" customHeight="1">
      <c r="B579" s="60"/>
      <c r="J579" s="60"/>
    </row>
    <row r="580" ht="15.75" customHeight="1">
      <c r="B580" s="60"/>
      <c r="J580" s="60"/>
    </row>
    <row r="581" ht="15.75" customHeight="1">
      <c r="B581" s="60"/>
      <c r="J581" s="60"/>
    </row>
    <row r="582" ht="15.75" customHeight="1">
      <c r="B582" s="60"/>
      <c r="J582" s="60"/>
    </row>
    <row r="583" ht="15.75" customHeight="1">
      <c r="B583" s="60"/>
      <c r="J583" s="60"/>
    </row>
    <row r="584" ht="15.75" customHeight="1">
      <c r="B584" s="60"/>
      <c r="J584" s="60"/>
    </row>
    <row r="585" ht="15.75" customHeight="1">
      <c r="B585" s="60"/>
      <c r="J585" s="60"/>
    </row>
    <row r="586" ht="15.75" customHeight="1">
      <c r="B586" s="60"/>
      <c r="J586" s="60"/>
    </row>
    <row r="587" ht="15.75" customHeight="1">
      <c r="B587" s="60"/>
      <c r="J587" s="60"/>
    </row>
    <row r="588" ht="15.75" customHeight="1">
      <c r="B588" s="60"/>
      <c r="J588" s="60"/>
    </row>
    <row r="589" ht="15.75" customHeight="1">
      <c r="B589" s="60"/>
      <c r="J589" s="60"/>
    </row>
    <row r="590" ht="15.75" customHeight="1">
      <c r="B590" s="60"/>
      <c r="J590" s="60"/>
    </row>
    <row r="591" ht="15.75" customHeight="1">
      <c r="B591" s="60"/>
      <c r="J591" s="60"/>
    </row>
    <row r="592" ht="15.75" customHeight="1">
      <c r="B592" s="60"/>
      <c r="J592" s="60"/>
    </row>
    <row r="593" ht="15.75" customHeight="1">
      <c r="B593" s="60"/>
      <c r="J593" s="60"/>
    </row>
    <row r="594" ht="15.75" customHeight="1">
      <c r="B594" s="60"/>
      <c r="J594" s="60"/>
    </row>
    <row r="595" ht="15.75" customHeight="1">
      <c r="B595" s="60"/>
      <c r="J595" s="60"/>
    </row>
    <row r="596" ht="15.75" customHeight="1">
      <c r="B596" s="60"/>
      <c r="J596" s="60"/>
    </row>
    <row r="597" ht="15.75" customHeight="1">
      <c r="B597" s="60"/>
      <c r="J597" s="60"/>
    </row>
    <row r="598" ht="15.75" customHeight="1">
      <c r="B598" s="60"/>
      <c r="J598" s="60"/>
    </row>
    <row r="599" ht="15.75" customHeight="1">
      <c r="B599" s="60"/>
      <c r="J599" s="60"/>
    </row>
    <row r="600" ht="15.75" customHeight="1">
      <c r="B600" s="60"/>
      <c r="J600" s="60"/>
    </row>
    <row r="601" ht="15.75" customHeight="1">
      <c r="B601" s="60"/>
      <c r="J601" s="60"/>
    </row>
    <row r="602" ht="15.75" customHeight="1">
      <c r="B602" s="60"/>
      <c r="J602" s="60"/>
    </row>
    <row r="603" ht="15.75" customHeight="1">
      <c r="B603" s="60"/>
      <c r="J603" s="60"/>
    </row>
    <row r="604" ht="15.75" customHeight="1">
      <c r="B604" s="60"/>
      <c r="J604" s="60"/>
    </row>
    <row r="605" ht="15.75" customHeight="1">
      <c r="B605" s="60"/>
      <c r="J605" s="60"/>
    </row>
    <row r="606" ht="15.75" customHeight="1">
      <c r="B606" s="60"/>
      <c r="J606" s="60"/>
    </row>
    <row r="607" ht="15.75" customHeight="1">
      <c r="B607" s="60"/>
      <c r="J607" s="60"/>
    </row>
    <row r="608" ht="15.75" customHeight="1">
      <c r="B608" s="60"/>
      <c r="J608" s="60"/>
    </row>
    <row r="609" ht="15.75" customHeight="1">
      <c r="B609" s="60"/>
      <c r="J609" s="60"/>
    </row>
    <row r="610" ht="15.75" customHeight="1">
      <c r="B610" s="60"/>
      <c r="J610" s="60"/>
    </row>
    <row r="611" ht="15.75" customHeight="1">
      <c r="B611" s="60"/>
      <c r="J611" s="60"/>
    </row>
    <row r="612" ht="15.75" customHeight="1">
      <c r="B612" s="60"/>
      <c r="J612" s="60"/>
    </row>
    <row r="613" ht="15.75" customHeight="1">
      <c r="B613" s="60"/>
      <c r="J613" s="60"/>
    </row>
    <row r="614" ht="15.75" customHeight="1">
      <c r="B614" s="60"/>
      <c r="J614" s="60"/>
    </row>
    <row r="615" ht="15.75" customHeight="1">
      <c r="B615" s="60"/>
      <c r="J615" s="60"/>
    </row>
    <row r="616" ht="15.75" customHeight="1">
      <c r="B616" s="60"/>
      <c r="J616" s="60"/>
    </row>
    <row r="617" ht="15.75" customHeight="1">
      <c r="B617" s="60"/>
      <c r="J617" s="60"/>
    </row>
    <row r="618" ht="15.75" customHeight="1">
      <c r="B618" s="60"/>
      <c r="J618" s="60"/>
    </row>
    <row r="619" ht="15.75" customHeight="1">
      <c r="B619" s="60"/>
      <c r="J619" s="60"/>
    </row>
    <row r="620" ht="15.75" customHeight="1">
      <c r="B620" s="60"/>
      <c r="J620" s="60"/>
    </row>
    <row r="621" ht="15.75" customHeight="1">
      <c r="B621" s="60"/>
      <c r="J621" s="60"/>
    </row>
    <row r="622" ht="15.75" customHeight="1">
      <c r="B622" s="60"/>
      <c r="J622" s="60"/>
    </row>
    <row r="623" ht="15.75" customHeight="1">
      <c r="B623" s="60"/>
      <c r="J623" s="60"/>
    </row>
    <row r="624" ht="15.75" customHeight="1">
      <c r="B624" s="60"/>
      <c r="J624" s="60"/>
    </row>
    <row r="625" ht="15.75" customHeight="1">
      <c r="B625" s="60"/>
      <c r="J625" s="60"/>
    </row>
    <row r="626" ht="15.75" customHeight="1">
      <c r="B626" s="60"/>
      <c r="J626" s="60"/>
    </row>
    <row r="627" ht="15.75" customHeight="1">
      <c r="B627" s="60"/>
      <c r="J627" s="60"/>
    </row>
    <row r="628" ht="15.75" customHeight="1">
      <c r="B628" s="60"/>
      <c r="J628" s="60"/>
    </row>
    <row r="629" ht="15.75" customHeight="1">
      <c r="B629" s="60"/>
      <c r="J629" s="60"/>
    </row>
    <row r="630" ht="15.75" customHeight="1">
      <c r="B630" s="60"/>
      <c r="J630" s="60"/>
    </row>
    <row r="631" ht="15.75" customHeight="1">
      <c r="B631" s="60"/>
      <c r="J631" s="60"/>
    </row>
    <row r="632" ht="15.75" customHeight="1">
      <c r="B632" s="60"/>
      <c r="J632" s="60"/>
    </row>
    <row r="633" ht="15.75" customHeight="1">
      <c r="B633" s="60"/>
      <c r="J633" s="60"/>
    </row>
    <row r="634" ht="15.75" customHeight="1">
      <c r="B634" s="60"/>
      <c r="J634" s="60"/>
    </row>
    <row r="635" ht="15.75" customHeight="1">
      <c r="B635" s="60"/>
      <c r="J635" s="60"/>
    </row>
    <row r="636" ht="15.75" customHeight="1">
      <c r="B636" s="60"/>
      <c r="J636" s="60"/>
    </row>
    <row r="637" ht="15.75" customHeight="1">
      <c r="B637" s="60"/>
      <c r="J637" s="60"/>
    </row>
    <row r="638" ht="15.75" customHeight="1">
      <c r="B638" s="60"/>
      <c r="J638" s="60"/>
    </row>
    <row r="639" ht="15.75" customHeight="1">
      <c r="B639" s="60"/>
      <c r="J639" s="60"/>
    </row>
    <row r="640" ht="15.75" customHeight="1">
      <c r="B640" s="60"/>
      <c r="J640" s="60"/>
    </row>
    <row r="641" ht="15.75" customHeight="1">
      <c r="B641" s="60"/>
      <c r="J641" s="60"/>
    </row>
    <row r="642" ht="15.75" customHeight="1">
      <c r="B642" s="60"/>
      <c r="J642" s="60"/>
    </row>
    <row r="643" ht="15.75" customHeight="1">
      <c r="B643" s="60"/>
      <c r="J643" s="60"/>
    </row>
    <row r="644" ht="15.75" customHeight="1">
      <c r="B644" s="60"/>
      <c r="J644" s="60"/>
    </row>
    <row r="645" ht="15.75" customHeight="1">
      <c r="B645" s="60"/>
      <c r="J645" s="60"/>
    </row>
    <row r="646" ht="15.75" customHeight="1">
      <c r="B646" s="60"/>
      <c r="J646" s="60"/>
    </row>
    <row r="647" ht="15.75" customHeight="1">
      <c r="B647" s="60"/>
      <c r="J647" s="60"/>
    </row>
    <row r="648" ht="15.75" customHeight="1">
      <c r="B648" s="60"/>
      <c r="J648" s="60"/>
    </row>
    <row r="649" ht="15.75" customHeight="1">
      <c r="B649" s="60"/>
      <c r="J649" s="60"/>
    </row>
    <row r="650" ht="15.75" customHeight="1">
      <c r="B650" s="60"/>
      <c r="J650" s="60"/>
    </row>
    <row r="651" ht="15.75" customHeight="1">
      <c r="B651" s="60"/>
      <c r="J651" s="60"/>
    </row>
    <row r="652" ht="15.75" customHeight="1">
      <c r="B652" s="60"/>
      <c r="J652" s="60"/>
    </row>
    <row r="653" ht="15.75" customHeight="1">
      <c r="B653" s="60"/>
      <c r="J653" s="60"/>
    </row>
    <row r="654" ht="15.75" customHeight="1">
      <c r="B654" s="60"/>
      <c r="J654" s="60"/>
    </row>
    <row r="655" ht="15.75" customHeight="1">
      <c r="B655" s="60"/>
      <c r="J655" s="60"/>
    </row>
    <row r="656" ht="15.75" customHeight="1">
      <c r="B656" s="60"/>
      <c r="J656" s="60"/>
    </row>
    <row r="657" ht="15.75" customHeight="1">
      <c r="B657" s="60"/>
      <c r="J657" s="60"/>
    </row>
    <row r="658" ht="15.75" customHeight="1">
      <c r="B658" s="60"/>
      <c r="J658" s="60"/>
    </row>
    <row r="659" ht="15.75" customHeight="1">
      <c r="B659" s="60"/>
      <c r="J659" s="60"/>
    </row>
    <row r="660" ht="15.75" customHeight="1">
      <c r="B660" s="60"/>
      <c r="J660" s="60"/>
    </row>
    <row r="661" ht="15.75" customHeight="1">
      <c r="B661" s="60"/>
      <c r="J661" s="60"/>
    </row>
    <row r="662" ht="15.75" customHeight="1">
      <c r="B662" s="60"/>
      <c r="J662" s="60"/>
    </row>
    <row r="663" ht="15.75" customHeight="1">
      <c r="B663" s="60"/>
      <c r="J663" s="60"/>
    </row>
    <row r="664" ht="15.75" customHeight="1">
      <c r="B664" s="60"/>
      <c r="J664" s="60"/>
    </row>
    <row r="665" ht="15.75" customHeight="1">
      <c r="B665" s="60"/>
      <c r="J665" s="60"/>
    </row>
    <row r="666" ht="15.75" customHeight="1">
      <c r="B666" s="60"/>
      <c r="J666" s="60"/>
    </row>
    <row r="667" ht="15.75" customHeight="1">
      <c r="B667" s="60"/>
      <c r="J667" s="60"/>
    </row>
    <row r="668" ht="15.75" customHeight="1">
      <c r="B668" s="60"/>
      <c r="J668" s="60"/>
    </row>
    <row r="669" ht="15.75" customHeight="1">
      <c r="B669" s="60"/>
      <c r="J669" s="60"/>
    </row>
    <row r="670" ht="15.75" customHeight="1">
      <c r="B670" s="60"/>
      <c r="J670" s="60"/>
    </row>
    <row r="671" ht="15.75" customHeight="1">
      <c r="B671" s="60"/>
      <c r="J671" s="60"/>
    </row>
    <row r="672" ht="15.75" customHeight="1">
      <c r="B672" s="60"/>
      <c r="J672" s="60"/>
    </row>
    <row r="673" ht="15.75" customHeight="1">
      <c r="B673" s="60"/>
      <c r="J673" s="60"/>
    </row>
    <row r="674" ht="15.75" customHeight="1">
      <c r="B674" s="60"/>
      <c r="J674" s="60"/>
    </row>
    <row r="675" ht="15.75" customHeight="1">
      <c r="B675" s="60"/>
      <c r="J675" s="60"/>
    </row>
    <row r="676" ht="15.75" customHeight="1">
      <c r="B676" s="60"/>
      <c r="J676" s="60"/>
    </row>
    <row r="677" ht="15.75" customHeight="1">
      <c r="B677" s="60"/>
      <c r="J677" s="60"/>
    </row>
    <row r="678" ht="15.75" customHeight="1">
      <c r="B678" s="60"/>
      <c r="J678" s="60"/>
    </row>
    <row r="679" ht="15.75" customHeight="1">
      <c r="B679" s="60"/>
      <c r="J679" s="60"/>
    </row>
    <row r="680" ht="15.75" customHeight="1">
      <c r="B680" s="60"/>
      <c r="J680" s="60"/>
    </row>
    <row r="681" ht="15.75" customHeight="1">
      <c r="B681" s="60"/>
      <c r="J681" s="60"/>
    </row>
    <row r="682" ht="15.75" customHeight="1">
      <c r="B682" s="60"/>
      <c r="J682" s="60"/>
    </row>
    <row r="683" ht="15.75" customHeight="1">
      <c r="B683" s="60"/>
      <c r="J683" s="60"/>
    </row>
    <row r="684" ht="15.75" customHeight="1">
      <c r="B684" s="60"/>
      <c r="J684" s="60"/>
    </row>
    <row r="685" ht="15.75" customHeight="1">
      <c r="B685" s="60"/>
      <c r="J685" s="60"/>
    </row>
    <row r="686" ht="15.75" customHeight="1">
      <c r="B686" s="60"/>
      <c r="J686" s="60"/>
    </row>
    <row r="687" ht="15.75" customHeight="1">
      <c r="B687" s="60"/>
      <c r="J687" s="60"/>
    </row>
    <row r="688" ht="15.75" customHeight="1">
      <c r="B688" s="60"/>
      <c r="J688" s="60"/>
    </row>
    <row r="689" ht="15.75" customHeight="1">
      <c r="B689" s="60"/>
      <c r="J689" s="60"/>
    </row>
    <row r="690" ht="15.75" customHeight="1">
      <c r="B690" s="60"/>
      <c r="J690" s="60"/>
    </row>
    <row r="691" ht="15.75" customHeight="1">
      <c r="B691" s="60"/>
      <c r="J691" s="60"/>
    </row>
    <row r="692" ht="15.75" customHeight="1">
      <c r="B692" s="60"/>
      <c r="J692" s="60"/>
    </row>
    <row r="693" ht="15.75" customHeight="1">
      <c r="B693" s="60"/>
      <c r="J693" s="60"/>
    </row>
    <row r="694" ht="15.75" customHeight="1">
      <c r="B694" s="60"/>
      <c r="J694" s="60"/>
    </row>
    <row r="695" ht="15.75" customHeight="1">
      <c r="B695" s="60"/>
      <c r="J695" s="60"/>
    </row>
    <row r="696" ht="15.75" customHeight="1">
      <c r="B696" s="60"/>
      <c r="J696" s="60"/>
    </row>
    <row r="697" ht="15.75" customHeight="1">
      <c r="B697" s="60"/>
      <c r="J697" s="60"/>
    </row>
    <row r="698" ht="15.75" customHeight="1">
      <c r="B698" s="60"/>
      <c r="J698" s="60"/>
    </row>
    <row r="699" ht="15.75" customHeight="1">
      <c r="B699" s="60"/>
      <c r="J699" s="60"/>
    </row>
    <row r="700" ht="15.75" customHeight="1">
      <c r="B700" s="60"/>
      <c r="J700" s="60"/>
    </row>
    <row r="701" ht="15.75" customHeight="1">
      <c r="B701" s="60"/>
      <c r="J701" s="60"/>
    </row>
    <row r="702" ht="15.75" customHeight="1">
      <c r="B702" s="60"/>
      <c r="J702" s="60"/>
    </row>
    <row r="703" ht="15.75" customHeight="1">
      <c r="B703" s="60"/>
      <c r="J703" s="60"/>
    </row>
    <row r="704" ht="15.75" customHeight="1">
      <c r="B704" s="60"/>
      <c r="J704" s="60"/>
    </row>
    <row r="705" ht="15.75" customHeight="1">
      <c r="B705" s="60"/>
      <c r="J705" s="60"/>
    </row>
    <row r="706" ht="15.75" customHeight="1">
      <c r="B706" s="60"/>
      <c r="J706" s="60"/>
    </row>
    <row r="707" ht="15.75" customHeight="1">
      <c r="B707" s="60"/>
      <c r="J707" s="60"/>
    </row>
    <row r="708" ht="15.75" customHeight="1">
      <c r="B708" s="60"/>
      <c r="J708" s="60"/>
    </row>
    <row r="709" ht="15.75" customHeight="1">
      <c r="B709" s="60"/>
      <c r="J709" s="60"/>
    </row>
    <row r="710" ht="15.75" customHeight="1">
      <c r="B710" s="60"/>
      <c r="J710" s="60"/>
    </row>
    <row r="711" ht="15.75" customHeight="1">
      <c r="B711" s="60"/>
      <c r="J711" s="60"/>
    </row>
    <row r="712" ht="15.75" customHeight="1">
      <c r="B712" s="60"/>
      <c r="J712" s="60"/>
    </row>
    <row r="713" ht="15.75" customHeight="1">
      <c r="B713" s="60"/>
      <c r="J713" s="60"/>
    </row>
    <row r="714" ht="15.75" customHeight="1">
      <c r="B714" s="60"/>
      <c r="J714" s="60"/>
    </row>
    <row r="715" ht="15.75" customHeight="1">
      <c r="B715" s="60"/>
      <c r="J715" s="60"/>
    </row>
    <row r="716" ht="15.75" customHeight="1">
      <c r="B716" s="60"/>
      <c r="J716" s="60"/>
    </row>
    <row r="717" ht="15.75" customHeight="1">
      <c r="B717" s="60"/>
      <c r="J717" s="60"/>
    </row>
    <row r="718" ht="15.75" customHeight="1">
      <c r="B718" s="60"/>
      <c r="J718" s="60"/>
    </row>
    <row r="719" ht="15.75" customHeight="1">
      <c r="B719" s="60"/>
      <c r="J719" s="60"/>
    </row>
    <row r="720" ht="15.75" customHeight="1">
      <c r="B720" s="60"/>
      <c r="J720" s="60"/>
    </row>
    <row r="721" ht="15.75" customHeight="1">
      <c r="B721" s="60"/>
      <c r="J721" s="60"/>
    </row>
    <row r="722" ht="15.75" customHeight="1">
      <c r="B722" s="60"/>
      <c r="J722" s="60"/>
    </row>
    <row r="723" ht="15.75" customHeight="1">
      <c r="B723" s="60"/>
      <c r="J723" s="60"/>
    </row>
    <row r="724" ht="15.75" customHeight="1">
      <c r="B724" s="60"/>
      <c r="J724" s="60"/>
    </row>
    <row r="725" ht="15.75" customHeight="1">
      <c r="B725" s="60"/>
      <c r="J725" s="60"/>
    </row>
    <row r="726" ht="15.75" customHeight="1">
      <c r="B726" s="60"/>
      <c r="J726" s="60"/>
    </row>
    <row r="727" ht="15.75" customHeight="1">
      <c r="B727" s="60"/>
      <c r="J727" s="60"/>
    </row>
    <row r="728" ht="15.75" customHeight="1">
      <c r="B728" s="60"/>
      <c r="J728" s="60"/>
    </row>
    <row r="729" ht="15.75" customHeight="1">
      <c r="B729" s="60"/>
      <c r="J729" s="60"/>
    </row>
    <row r="730" ht="15.75" customHeight="1">
      <c r="B730" s="60"/>
      <c r="J730" s="60"/>
    </row>
    <row r="731" ht="15.75" customHeight="1">
      <c r="B731" s="60"/>
      <c r="J731" s="60"/>
    </row>
    <row r="732" ht="15.75" customHeight="1">
      <c r="B732" s="60"/>
      <c r="J732" s="60"/>
    </row>
    <row r="733" ht="15.75" customHeight="1">
      <c r="B733" s="60"/>
      <c r="J733" s="60"/>
    </row>
    <row r="734" ht="15.75" customHeight="1">
      <c r="B734" s="60"/>
      <c r="J734" s="60"/>
    </row>
    <row r="735" ht="15.75" customHeight="1">
      <c r="B735" s="60"/>
      <c r="J735" s="60"/>
    </row>
    <row r="736" ht="15.75" customHeight="1">
      <c r="B736" s="60"/>
      <c r="J736" s="60"/>
    </row>
    <row r="737" ht="15.75" customHeight="1">
      <c r="B737" s="60"/>
      <c r="J737" s="60"/>
    </row>
    <row r="738" ht="15.75" customHeight="1">
      <c r="B738" s="60"/>
      <c r="J738" s="60"/>
    </row>
    <row r="739" ht="15.75" customHeight="1">
      <c r="B739" s="60"/>
      <c r="J739" s="60"/>
    </row>
    <row r="740" ht="15.75" customHeight="1">
      <c r="B740" s="60"/>
      <c r="J740" s="60"/>
    </row>
    <row r="741" ht="15.75" customHeight="1">
      <c r="B741" s="60"/>
      <c r="J741" s="60"/>
    </row>
    <row r="742" ht="15.75" customHeight="1">
      <c r="B742" s="60"/>
      <c r="J742" s="60"/>
    </row>
    <row r="743" ht="15.75" customHeight="1">
      <c r="B743" s="60"/>
      <c r="J743" s="60"/>
    </row>
    <row r="744" ht="15.75" customHeight="1">
      <c r="B744" s="60"/>
      <c r="J744" s="60"/>
    </row>
    <row r="745" ht="15.75" customHeight="1">
      <c r="B745" s="60"/>
      <c r="J745" s="60"/>
    </row>
    <row r="746" ht="15.75" customHeight="1">
      <c r="B746" s="60"/>
      <c r="J746" s="60"/>
    </row>
    <row r="747" ht="15.75" customHeight="1">
      <c r="B747" s="60"/>
      <c r="J747" s="60"/>
    </row>
    <row r="748" ht="15.75" customHeight="1">
      <c r="B748" s="60"/>
      <c r="J748" s="60"/>
    </row>
    <row r="749" ht="15.75" customHeight="1">
      <c r="B749" s="60"/>
      <c r="J749" s="60"/>
    </row>
    <row r="750" ht="15.75" customHeight="1">
      <c r="B750" s="60"/>
      <c r="J750" s="60"/>
    </row>
    <row r="751" ht="15.75" customHeight="1">
      <c r="B751" s="60"/>
      <c r="J751" s="60"/>
    </row>
    <row r="752" ht="15.75" customHeight="1">
      <c r="B752" s="60"/>
      <c r="J752" s="60"/>
    </row>
    <row r="753" ht="15.75" customHeight="1">
      <c r="B753" s="60"/>
      <c r="J753" s="60"/>
    </row>
    <row r="754" ht="15.75" customHeight="1">
      <c r="B754" s="60"/>
      <c r="J754" s="60"/>
    </row>
    <row r="755" ht="15.75" customHeight="1">
      <c r="B755" s="60"/>
      <c r="J755" s="60"/>
    </row>
    <row r="756" ht="15.75" customHeight="1">
      <c r="B756" s="60"/>
      <c r="J756" s="60"/>
    </row>
    <row r="757" ht="15.75" customHeight="1">
      <c r="B757" s="60"/>
      <c r="J757" s="60"/>
    </row>
    <row r="758" ht="15.75" customHeight="1">
      <c r="B758" s="60"/>
      <c r="J758" s="60"/>
    </row>
    <row r="759" ht="15.75" customHeight="1">
      <c r="B759" s="60"/>
      <c r="J759" s="60"/>
    </row>
    <row r="760" ht="15.75" customHeight="1">
      <c r="B760" s="60"/>
      <c r="J760" s="60"/>
    </row>
    <row r="761" ht="15.75" customHeight="1">
      <c r="B761" s="60"/>
      <c r="J761" s="60"/>
    </row>
    <row r="762" ht="15.75" customHeight="1">
      <c r="B762" s="60"/>
      <c r="J762" s="60"/>
    </row>
    <row r="763" ht="15.75" customHeight="1">
      <c r="B763" s="60"/>
      <c r="J763" s="60"/>
    </row>
    <row r="764" ht="15.75" customHeight="1">
      <c r="B764" s="60"/>
      <c r="J764" s="60"/>
    </row>
    <row r="765" ht="15.75" customHeight="1">
      <c r="B765" s="60"/>
      <c r="J765" s="60"/>
    </row>
    <row r="766" ht="15.75" customHeight="1">
      <c r="B766" s="60"/>
      <c r="J766" s="60"/>
    </row>
    <row r="767" ht="15.75" customHeight="1">
      <c r="B767" s="60"/>
      <c r="J767" s="60"/>
    </row>
    <row r="768" ht="15.75" customHeight="1">
      <c r="B768" s="60"/>
      <c r="J768" s="60"/>
    </row>
    <row r="769" ht="15.75" customHeight="1">
      <c r="B769" s="60"/>
      <c r="J769" s="60"/>
    </row>
    <row r="770" ht="15.75" customHeight="1">
      <c r="B770" s="60"/>
      <c r="J770" s="60"/>
    </row>
    <row r="771" ht="15.75" customHeight="1">
      <c r="B771" s="60"/>
      <c r="J771" s="60"/>
    </row>
    <row r="772" ht="15.75" customHeight="1">
      <c r="B772" s="60"/>
      <c r="J772" s="60"/>
    </row>
    <row r="773" ht="15.75" customHeight="1">
      <c r="B773" s="60"/>
      <c r="J773" s="60"/>
    </row>
    <row r="774" ht="15.75" customHeight="1">
      <c r="B774" s="60"/>
      <c r="J774" s="60"/>
    </row>
    <row r="775" ht="15.75" customHeight="1">
      <c r="B775" s="60"/>
      <c r="J775" s="60"/>
    </row>
    <row r="776" ht="15.75" customHeight="1">
      <c r="B776" s="60"/>
      <c r="J776" s="60"/>
    </row>
    <row r="777" ht="15.75" customHeight="1">
      <c r="B777" s="60"/>
      <c r="J777" s="60"/>
    </row>
    <row r="778" ht="15.75" customHeight="1">
      <c r="B778" s="60"/>
      <c r="J778" s="60"/>
    </row>
    <row r="779" ht="15.75" customHeight="1">
      <c r="B779" s="60"/>
      <c r="J779" s="60"/>
    </row>
    <row r="780" ht="15.75" customHeight="1">
      <c r="B780" s="60"/>
      <c r="J780" s="60"/>
    </row>
    <row r="781" ht="15.75" customHeight="1">
      <c r="B781" s="60"/>
      <c r="J781" s="60"/>
    </row>
    <row r="782" ht="15.75" customHeight="1">
      <c r="B782" s="60"/>
      <c r="J782" s="60"/>
    </row>
    <row r="783" ht="15.75" customHeight="1">
      <c r="B783" s="60"/>
      <c r="J783" s="60"/>
    </row>
    <row r="784" ht="15.75" customHeight="1">
      <c r="B784" s="60"/>
      <c r="J784" s="60"/>
    </row>
    <row r="785" ht="15.75" customHeight="1">
      <c r="B785" s="60"/>
      <c r="J785" s="60"/>
    </row>
    <row r="786" ht="15.75" customHeight="1">
      <c r="B786" s="60"/>
      <c r="J786" s="60"/>
    </row>
    <row r="787" ht="15.75" customHeight="1">
      <c r="B787" s="60"/>
      <c r="J787" s="60"/>
    </row>
    <row r="788" ht="15.75" customHeight="1">
      <c r="B788" s="60"/>
      <c r="J788" s="60"/>
    </row>
    <row r="789" ht="15.75" customHeight="1">
      <c r="B789" s="60"/>
      <c r="J789" s="60"/>
    </row>
    <row r="790" ht="15.75" customHeight="1">
      <c r="B790" s="60"/>
      <c r="J790" s="60"/>
    </row>
    <row r="791" ht="15.75" customHeight="1">
      <c r="B791" s="60"/>
      <c r="J791" s="60"/>
    </row>
    <row r="792" ht="15.75" customHeight="1">
      <c r="B792" s="60"/>
      <c r="J792" s="60"/>
    </row>
    <row r="793" ht="15.75" customHeight="1">
      <c r="B793" s="60"/>
      <c r="J793" s="60"/>
    </row>
    <row r="794" ht="15.75" customHeight="1">
      <c r="B794" s="60"/>
      <c r="J794" s="60"/>
    </row>
    <row r="795" ht="15.75" customHeight="1">
      <c r="B795" s="60"/>
      <c r="J795" s="60"/>
    </row>
    <row r="796" ht="15.75" customHeight="1">
      <c r="B796" s="60"/>
      <c r="J796" s="60"/>
    </row>
    <row r="797" ht="15.75" customHeight="1">
      <c r="B797" s="60"/>
      <c r="J797" s="60"/>
    </row>
    <row r="798" ht="15.75" customHeight="1">
      <c r="B798" s="60"/>
      <c r="J798" s="60"/>
    </row>
    <row r="799" ht="15.75" customHeight="1">
      <c r="B799" s="60"/>
      <c r="J799" s="60"/>
    </row>
    <row r="800" ht="15.75" customHeight="1">
      <c r="B800" s="60"/>
      <c r="J800" s="60"/>
    </row>
    <row r="801" ht="15.75" customHeight="1">
      <c r="B801" s="60"/>
      <c r="J801" s="60"/>
    </row>
    <row r="802" ht="15.75" customHeight="1">
      <c r="B802" s="60"/>
      <c r="J802" s="60"/>
    </row>
    <row r="803" ht="15.75" customHeight="1">
      <c r="B803" s="60"/>
      <c r="J803" s="60"/>
    </row>
    <row r="804" ht="15.75" customHeight="1">
      <c r="B804" s="60"/>
      <c r="J804" s="60"/>
    </row>
    <row r="805" ht="15.75" customHeight="1">
      <c r="B805" s="60"/>
      <c r="J805" s="60"/>
    </row>
    <row r="806" ht="15.75" customHeight="1">
      <c r="B806" s="60"/>
      <c r="J806" s="60"/>
    </row>
    <row r="807" ht="15.75" customHeight="1">
      <c r="B807" s="60"/>
      <c r="J807" s="60"/>
    </row>
    <row r="808" ht="15.75" customHeight="1">
      <c r="B808" s="60"/>
      <c r="J808" s="60"/>
    </row>
    <row r="809" ht="15.75" customHeight="1">
      <c r="B809" s="60"/>
      <c r="J809" s="60"/>
    </row>
    <row r="810" ht="15.75" customHeight="1">
      <c r="B810" s="60"/>
      <c r="J810" s="60"/>
    </row>
    <row r="811" ht="15.75" customHeight="1">
      <c r="B811" s="60"/>
      <c r="J811" s="60"/>
    </row>
    <row r="812" ht="15.75" customHeight="1">
      <c r="B812" s="60"/>
      <c r="J812" s="60"/>
    </row>
    <row r="813" ht="15.75" customHeight="1">
      <c r="B813" s="60"/>
      <c r="J813" s="60"/>
    </row>
    <row r="814" ht="15.75" customHeight="1">
      <c r="B814" s="60"/>
      <c r="J814" s="60"/>
    </row>
    <row r="815" ht="15.75" customHeight="1">
      <c r="B815" s="60"/>
      <c r="J815" s="60"/>
    </row>
    <row r="816" ht="15.75" customHeight="1">
      <c r="B816" s="60"/>
      <c r="J816" s="60"/>
    </row>
    <row r="817" ht="15.75" customHeight="1">
      <c r="B817" s="60"/>
      <c r="J817" s="60"/>
    </row>
    <row r="818" ht="15.75" customHeight="1">
      <c r="B818" s="60"/>
      <c r="J818" s="60"/>
    </row>
    <row r="819" ht="15.75" customHeight="1">
      <c r="B819" s="60"/>
      <c r="J819" s="60"/>
    </row>
    <row r="820" ht="15.75" customHeight="1">
      <c r="B820" s="60"/>
      <c r="J820" s="60"/>
    </row>
    <row r="821" ht="15.75" customHeight="1">
      <c r="B821" s="60"/>
      <c r="J821" s="60"/>
    </row>
    <row r="822" ht="15.75" customHeight="1">
      <c r="B822" s="60"/>
      <c r="J822" s="60"/>
    </row>
    <row r="823" ht="15.75" customHeight="1">
      <c r="B823" s="60"/>
      <c r="J823" s="60"/>
    </row>
    <row r="824" ht="15.75" customHeight="1">
      <c r="B824" s="60"/>
      <c r="J824" s="60"/>
    </row>
    <row r="825" ht="15.75" customHeight="1">
      <c r="B825" s="60"/>
      <c r="J825" s="60"/>
    </row>
    <row r="826" ht="15.75" customHeight="1">
      <c r="B826" s="60"/>
      <c r="J826" s="60"/>
    </row>
    <row r="827" ht="15.75" customHeight="1">
      <c r="B827" s="60"/>
      <c r="J827" s="60"/>
    </row>
    <row r="828" ht="15.75" customHeight="1">
      <c r="B828" s="60"/>
      <c r="J828" s="60"/>
    </row>
    <row r="829" ht="15.75" customHeight="1">
      <c r="B829" s="60"/>
      <c r="J829" s="60"/>
    </row>
    <row r="830" ht="15.75" customHeight="1">
      <c r="B830" s="60"/>
      <c r="J830" s="60"/>
    </row>
    <row r="831" ht="15.75" customHeight="1">
      <c r="B831" s="60"/>
      <c r="J831" s="60"/>
    </row>
    <row r="832" ht="15.75" customHeight="1">
      <c r="B832" s="60"/>
      <c r="J832" s="60"/>
    </row>
    <row r="833" ht="15.75" customHeight="1">
      <c r="B833" s="60"/>
      <c r="J833" s="60"/>
    </row>
    <row r="834" ht="15.75" customHeight="1">
      <c r="B834" s="60"/>
      <c r="J834" s="60"/>
    </row>
    <row r="835" ht="15.75" customHeight="1">
      <c r="B835" s="60"/>
      <c r="J835" s="60"/>
    </row>
    <row r="836" ht="15.75" customHeight="1">
      <c r="B836" s="60"/>
      <c r="J836" s="60"/>
    </row>
    <row r="837" ht="15.75" customHeight="1">
      <c r="B837" s="60"/>
      <c r="J837" s="60"/>
    </row>
    <row r="838" ht="15.75" customHeight="1">
      <c r="B838" s="60"/>
      <c r="J838" s="60"/>
    </row>
    <row r="839" ht="15.75" customHeight="1">
      <c r="B839" s="60"/>
      <c r="J839" s="60"/>
    </row>
    <row r="840" ht="15.75" customHeight="1">
      <c r="B840" s="60"/>
      <c r="J840" s="60"/>
    </row>
    <row r="841" ht="15.75" customHeight="1">
      <c r="B841" s="60"/>
      <c r="J841" s="60"/>
    </row>
    <row r="842" ht="15.75" customHeight="1">
      <c r="B842" s="60"/>
      <c r="J842" s="60"/>
    </row>
    <row r="843" ht="15.75" customHeight="1">
      <c r="B843" s="60"/>
      <c r="J843" s="60"/>
    </row>
    <row r="844" ht="15.75" customHeight="1">
      <c r="B844" s="60"/>
      <c r="J844" s="60"/>
    </row>
    <row r="845" ht="15.75" customHeight="1">
      <c r="B845" s="60"/>
      <c r="J845" s="60"/>
    </row>
    <row r="846" ht="15.75" customHeight="1">
      <c r="B846" s="60"/>
      <c r="J846" s="60"/>
    </row>
    <row r="847" ht="15.75" customHeight="1">
      <c r="B847" s="60"/>
      <c r="J847" s="60"/>
    </row>
    <row r="848" ht="15.75" customHeight="1">
      <c r="B848" s="60"/>
      <c r="J848" s="60"/>
    </row>
    <row r="849" ht="15.75" customHeight="1">
      <c r="B849" s="60"/>
      <c r="J849" s="60"/>
    </row>
    <row r="850" ht="15.75" customHeight="1">
      <c r="B850" s="60"/>
      <c r="J850" s="60"/>
    </row>
    <row r="851" ht="15.75" customHeight="1">
      <c r="B851" s="60"/>
      <c r="J851" s="60"/>
    </row>
    <row r="852" ht="15.75" customHeight="1">
      <c r="B852" s="60"/>
      <c r="J852" s="60"/>
    </row>
    <row r="853" ht="15.75" customHeight="1">
      <c r="B853" s="60"/>
      <c r="J853" s="60"/>
    </row>
    <row r="854" ht="15.75" customHeight="1">
      <c r="B854" s="60"/>
      <c r="J854" s="60"/>
    </row>
    <row r="855" ht="15.75" customHeight="1">
      <c r="B855" s="60"/>
      <c r="J855" s="60"/>
    </row>
    <row r="856" ht="15.75" customHeight="1">
      <c r="B856" s="60"/>
      <c r="J856" s="60"/>
    </row>
    <row r="857" ht="15.75" customHeight="1">
      <c r="B857" s="60"/>
      <c r="J857" s="60"/>
    </row>
    <row r="858" ht="15.75" customHeight="1">
      <c r="B858" s="60"/>
      <c r="J858" s="60"/>
    </row>
    <row r="859" ht="15.75" customHeight="1">
      <c r="B859" s="60"/>
      <c r="J859" s="60"/>
    </row>
    <row r="860" ht="15.75" customHeight="1">
      <c r="B860" s="60"/>
      <c r="J860" s="60"/>
    </row>
    <row r="861" ht="15.75" customHeight="1">
      <c r="B861" s="60"/>
      <c r="J861" s="60"/>
    </row>
    <row r="862" ht="15.75" customHeight="1">
      <c r="B862" s="60"/>
      <c r="J862" s="60"/>
    </row>
    <row r="863" ht="15.75" customHeight="1">
      <c r="B863" s="60"/>
      <c r="J863" s="60"/>
    </row>
    <row r="864" ht="15.75" customHeight="1">
      <c r="B864" s="60"/>
      <c r="J864" s="60"/>
    </row>
    <row r="865" ht="15.75" customHeight="1">
      <c r="B865" s="60"/>
      <c r="J865" s="60"/>
    </row>
    <row r="866" ht="15.75" customHeight="1">
      <c r="B866" s="60"/>
      <c r="J866" s="60"/>
    </row>
    <row r="867" ht="15.75" customHeight="1">
      <c r="B867" s="60"/>
      <c r="J867" s="60"/>
    </row>
    <row r="868" ht="15.75" customHeight="1">
      <c r="B868" s="60"/>
      <c r="J868" s="60"/>
    </row>
    <row r="869" ht="15.75" customHeight="1">
      <c r="B869" s="60"/>
      <c r="J869" s="60"/>
    </row>
    <row r="870" ht="15.75" customHeight="1">
      <c r="B870" s="60"/>
      <c r="J870" s="60"/>
    </row>
    <row r="871" ht="15.75" customHeight="1">
      <c r="B871" s="60"/>
      <c r="J871" s="60"/>
    </row>
    <row r="872" ht="15.75" customHeight="1">
      <c r="B872" s="60"/>
      <c r="J872" s="60"/>
    </row>
    <row r="873" ht="15.75" customHeight="1">
      <c r="B873" s="60"/>
      <c r="J873" s="60"/>
    </row>
    <row r="874" ht="15.75" customHeight="1">
      <c r="B874" s="60"/>
      <c r="J874" s="60"/>
    </row>
    <row r="875" ht="15.75" customHeight="1">
      <c r="B875" s="60"/>
      <c r="J875" s="60"/>
    </row>
    <row r="876" ht="15.75" customHeight="1">
      <c r="B876" s="60"/>
      <c r="J876" s="60"/>
    </row>
    <row r="877" ht="15.75" customHeight="1">
      <c r="B877" s="60"/>
      <c r="J877" s="60"/>
    </row>
    <row r="878" ht="15.75" customHeight="1">
      <c r="B878" s="60"/>
      <c r="J878" s="60"/>
    </row>
    <row r="879" ht="15.75" customHeight="1">
      <c r="B879" s="60"/>
      <c r="J879" s="60"/>
    </row>
    <row r="880" ht="15.75" customHeight="1">
      <c r="B880" s="60"/>
      <c r="J880" s="60"/>
    </row>
    <row r="881" ht="15.75" customHeight="1">
      <c r="B881" s="60"/>
      <c r="J881" s="60"/>
    </row>
    <row r="882" ht="15.75" customHeight="1">
      <c r="B882" s="60"/>
      <c r="J882" s="60"/>
    </row>
    <row r="883" ht="15.75" customHeight="1">
      <c r="B883" s="60"/>
      <c r="J883" s="60"/>
    </row>
    <row r="884" ht="15.75" customHeight="1">
      <c r="B884" s="60"/>
      <c r="J884" s="60"/>
    </row>
    <row r="885" ht="15.75" customHeight="1">
      <c r="B885" s="60"/>
      <c r="J885" s="60"/>
    </row>
    <row r="886" ht="15.75" customHeight="1">
      <c r="B886" s="60"/>
      <c r="J886" s="60"/>
    </row>
    <row r="887" ht="15.75" customHeight="1">
      <c r="B887" s="60"/>
      <c r="J887" s="60"/>
    </row>
    <row r="888" ht="15.75" customHeight="1">
      <c r="B888" s="60"/>
      <c r="J888" s="60"/>
    </row>
    <row r="889" ht="15.75" customHeight="1">
      <c r="B889" s="60"/>
      <c r="J889" s="60"/>
    </row>
    <row r="890" ht="15.75" customHeight="1">
      <c r="B890" s="60"/>
      <c r="J890" s="60"/>
    </row>
    <row r="891" ht="15.75" customHeight="1">
      <c r="B891" s="60"/>
      <c r="J891" s="60"/>
    </row>
    <row r="892" ht="15.75" customHeight="1">
      <c r="B892" s="60"/>
      <c r="J892" s="60"/>
    </row>
    <row r="893" ht="15.75" customHeight="1">
      <c r="B893" s="60"/>
      <c r="J893" s="60"/>
    </row>
    <row r="894" ht="15.75" customHeight="1">
      <c r="B894" s="60"/>
      <c r="J894" s="60"/>
    </row>
    <row r="895" ht="15.75" customHeight="1">
      <c r="B895" s="60"/>
      <c r="J895" s="60"/>
    </row>
    <row r="896" ht="15.75" customHeight="1">
      <c r="B896" s="60"/>
      <c r="J896" s="60"/>
    </row>
    <row r="897" ht="15.75" customHeight="1">
      <c r="B897" s="60"/>
      <c r="J897" s="60"/>
    </row>
    <row r="898" ht="15.75" customHeight="1">
      <c r="B898" s="60"/>
      <c r="J898" s="60"/>
    </row>
    <row r="899" ht="15.75" customHeight="1">
      <c r="B899" s="60"/>
      <c r="J899" s="60"/>
    </row>
    <row r="900" ht="15.75" customHeight="1">
      <c r="B900" s="60"/>
      <c r="J900" s="60"/>
    </row>
    <row r="901" ht="15.75" customHeight="1">
      <c r="B901" s="60"/>
      <c r="J901" s="60"/>
    </row>
    <row r="902" ht="15.75" customHeight="1">
      <c r="B902" s="60"/>
      <c r="J902" s="60"/>
    </row>
    <row r="903" ht="15.75" customHeight="1">
      <c r="B903" s="60"/>
      <c r="J903" s="60"/>
    </row>
    <row r="904" ht="15.75" customHeight="1">
      <c r="B904" s="60"/>
      <c r="J904" s="60"/>
    </row>
    <row r="905" ht="15.75" customHeight="1">
      <c r="B905" s="60"/>
      <c r="J905" s="60"/>
    </row>
    <row r="906" ht="15.75" customHeight="1">
      <c r="B906" s="60"/>
      <c r="J906" s="60"/>
    </row>
    <row r="907" ht="15.75" customHeight="1">
      <c r="B907" s="60"/>
      <c r="J907" s="60"/>
    </row>
    <row r="908" ht="15.75" customHeight="1">
      <c r="B908" s="60"/>
      <c r="J908" s="60"/>
    </row>
    <row r="909" ht="15.75" customHeight="1">
      <c r="B909" s="60"/>
      <c r="J909" s="60"/>
    </row>
    <row r="910" ht="15.75" customHeight="1">
      <c r="B910" s="60"/>
      <c r="J910" s="60"/>
    </row>
    <row r="911" ht="15.75" customHeight="1">
      <c r="B911" s="60"/>
      <c r="J911" s="60"/>
    </row>
    <row r="912" ht="15.75" customHeight="1">
      <c r="B912" s="60"/>
      <c r="J912" s="60"/>
    </row>
    <row r="913" ht="15.75" customHeight="1">
      <c r="B913" s="60"/>
      <c r="J913" s="60"/>
    </row>
    <row r="914" ht="15.75" customHeight="1">
      <c r="B914" s="60"/>
      <c r="J914" s="60"/>
    </row>
    <row r="915" ht="15.75" customHeight="1">
      <c r="B915" s="60"/>
      <c r="J915" s="60"/>
    </row>
    <row r="916" ht="15.75" customHeight="1">
      <c r="B916" s="60"/>
      <c r="J916" s="60"/>
    </row>
    <row r="917" ht="15.75" customHeight="1">
      <c r="B917" s="60"/>
      <c r="J917" s="60"/>
    </row>
    <row r="918" ht="15.75" customHeight="1">
      <c r="B918" s="60"/>
      <c r="J918" s="60"/>
    </row>
    <row r="919" ht="15.75" customHeight="1">
      <c r="B919" s="60"/>
      <c r="J919" s="60"/>
    </row>
    <row r="920" ht="15.75" customHeight="1">
      <c r="B920" s="60"/>
      <c r="J920" s="60"/>
    </row>
    <row r="921" ht="15.75" customHeight="1">
      <c r="B921" s="60"/>
      <c r="J921" s="60"/>
    </row>
    <row r="922" ht="15.75" customHeight="1">
      <c r="B922" s="60"/>
      <c r="J922" s="60"/>
    </row>
    <row r="923" ht="15.75" customHeight="1">
      <c r="B923" s="60"/>
      <c r="J923" s="60"/>
    </row>
    <row r="924" ht="15.75" customHeight="1">
      <c r="B924" s="60"/>
      <c r="J924" s="60"/>
    </row>
    <row r="925" ht="15.75" customHeight="1">
      <c r="B925" s="60"/>
      <c r="J925" s="60"/>
    </row>
    <row r="926" ht="15.75" customHeight="1">
      <c r="B926" s="60"/>
      <c r="J926" s="60"/>
    </row>
    <row r="927" ht="15.75" customHeight="1">
      <c r="B927" s="60"/>
      <c r="J927" s="60"/>
    </row>
    <row r="928" ht="15.75" customHeight="1">
      <c r="B928" s="60"/>
      <c r="J928" s="60"/>
    </row>
    <row r="929" ht="15.75" customHeight="1">
      <c r="B929" s="60"/>
      <c r="J929" s="60"/>
    </row>
    <row r="930" ht="15.75" customHeight="1">
      <c r="B930" s="60"/>
      <c r="J930" s="60"/>
    </row>
    <row r="931" ht="15.75" customHeight="1">
      <c r="B931" s="60"/>
      <c r="J931" s="60"/>
    </row>
    <row r="932" ht="15.75" customHeight="1">
      <c r="B932" s="60"/>
      <c r="J932" s="60"/>
    </row>
    <row r="933" ht="15.75" customHeight="1">
      <c r="B933" s="60"/>
      <c r="J933" s="60"/>
    </row>
    <row r="934" ht="15.75" customHeight="1">
      <c r="B934" s="60"/>
      <c r="J934" s="60"/>
    </row>
    <row r="935" ht="15.75" customHeight="1">
      <c r="B935" s="60"/>
      <c r="J935" s="60"/>
    </row>
    <row r="936" ht="15.75" customHeight="1">
      <c r="B936" s="60"/>
      <c r="J936" s="60"/>
    </row>
    <row r="937" ht="15.75" customHeight="1">
      <c r="B937" s="60"/>
      <c r="J937" s="60"/>
    </row>
    <row r="938" ht="15.75" customHeight="1">
      <c r="B938" s="60"/>
      <c r="J938" s="60"/>
    </row>
    <row r="939" ht="15.75" customHeight="1">
      <c r="B939" s="60"/>
      <c r="J939" s="60"/>
    </row>
    <row r="940" ht="15.75" customHeight="1">
      <c r="B940" s="60"/>
      <c r="J940" s="60"/>
    </row>
    <row r="941" ht="15.75" customHeight="1">
      <c r="B941" s="60"/>
      <c r="J941" s="60"/>
    </row>
    <row r="942" ht="15.75" customHeight="1">
      <c r="B942" s="60"/>
      <c r="J942" s="60"/>
    </row>
    <row r="943" ht="15.75" customHeight="1">
      <c r="B943" s="60"/>
      <c r="J943" s="60"/>
    </row>
    <row r="944" ht="15.75" customHeight="1">
      <c r="B944" s="60"/>
      <c r="J944" s="60"/>
    </row>
    <row r="945" ht="15.75" customHeight="1">
      <c r="B945" s="60"/>
      <c r="J945" s="60"/>
    </row>
    <row r="946" ht="15.75" customHeight="1">
      <c r="B946" s="60"/>
      <c r="J946" s="60"/>
    </row>
    <row r="947" ht="15.75" customHeight="1">
      <c r="B947" s="60"/>
      <c r="J947" s="60"/>
    </row>
    <row r="948" ht="15.75" customHeight="1">
      <c r="B948" s="60"/>
      <c r="J948" s="60"/>
    </row>
    <row r="949" ht="15.75" customHeight="1">
      <c r="B949" s="60"/>
      <c r="J949" s="60"/>
    </row>
    <row r="950" ht="15.75" customHeight="1">
      <c r="B950" s="60"/>
      <c r="J950" s="60"/>
    </row>
    <row r="951" ht="15.75" customHeight="1">
      <c r="B951" s="60"/>
      <c r="J951" s="60"/>
    </row>
    <row r="952" ht="15.75" customHeight="1">
      <c r="B952" s="60"/>
      <c r="J952" s="60"/>
    </row>
    <row r="953" ht="15.75" customHeight="1">
      <c r="B953" s="60"/>
      <c r="J953" s="60"/>
    </row>
    <row r="954" ht="15.75" customHeight="1">
      <c r="B954" s="60"/>
      <c r="J954" s="60"/>
    </row>
    <row r="955" ht="15.75" customHeight="1">
      <c r="B955" s="60"/>
      <c r="J955" s="60"/>
    </row>
    <row r="956" ht="15.75" customHeight="1">
      <c r="B956" s="60"/>
      <c r="J956" s="60"/>
    </row>
    <row r="957" ht="15.75" customHeight="1">
      <c r="B957" s="60"/>
      <c r="J957" s="60"/>
    </row>
    <row r="958" ht="15.75" customHeight="1">
      <c r="B958" s="60"/>
      <c r="J958" s="60"/>
    </row>
    <row r="959" ht="15.75" customHeight="1">
      <c r="B959" s="60"/>
      <c r="J959" s="60"/>
    </row>
    <row r="960" ht="15.75" customHeight="1">
      <c r="B960" s="60"/>
      <c r="J960" s="60"/>
    </row>
    <row r="961" ht="15.75" customHeight="1">
      <c r="B961" s="60"/>
      <c r="J961" s="60"/>
    </row>
    <row r="962" ht="15.75" customHeight="1">
      <c r="B962" s="60"/>
      <c r="J962" s="60"/>
    </row>
    <row r="963" ht="15.75" customHeight="1">
      <c r="B963" s="60"/>
      <c r="J963" s="60"/>
    </row>
    <row r="964" ht="15.75" customHeight="1">
      <c r="B964" s="60"/>
      <c r="J964" s="60"/>
    </row>
    <row r="965" ht="15.75" customHeight="1">
      <c r="B965" s="60"/>
      <c r="J965" s="60"/>
    </row>
    <row r="966" ht="15.75" customHeight="1">
      <c r="B966" s="60"/>
      <c r="J966" s="60"/>
    </row>
    <row r="967" ht="15.75" customHeight="1">
      <c r="B967" s="60"/>
      <c r="J967" s="60"/>
    </row>
    <row r="968" ht="15.75" customHeight="1">
      <c r="B968" s="60"/>
      <c r="J968" s="60"/>
    </row>
    <row r="969" ht="15.75" customHeight="1">
      <c r="B969" s="60"/>
      <c r="J969" s="60"/>
    </row>
    <row r="970" ht="15.75" customHeight="1">
      <c r="B970" s="60"/>
      <c r="J970" s="60"/>
    </row>
    <row r="971" ht="15.75" customHeight="1">
      <c r="B971" s="60"/>
      <c r="J971" s="60"/>
    </row>
    <row r="972" ht="15.75" customHeight="1">
      <c r="B972" s="60"/>
      <c r="J972" s="60"/>
    </row>
    <row r="973" ht="15.75" customHeight="1">
      <c r="B973" s="60"/>
      <c r="J973" s="60"/>
    </row>
    <row r="974" ht="15.75" customHeight="1">
      <c r="B974" s="60"/>
      <c r="J974" s="60"/>
    </row>
    <row r="975" ht="15.75" customHeight="1">
      <c r="B975" s="60"/>
      <c r="J975" s="60"/>
    </row>
    <row r="976" ht="15.75" customHeight="1">
      <c r="B976" s="60"/>
      <c r="J976" s="60"/>
    </row>
    <row r="977" ht="15.75" customHeight="1">
      <c r="B977" s="60"/>
      <c r="J977" s="60"/>
    </row>
    <row r="978" ht="15.75" customHeight="1">
      <c r="B978" s="60"/>
      <c r="J978" s="60"/>
    </row>
    <row r="979" ht="15.75" customHeight="1">
      <c r="B979" s="60"/>
      <c r="J979" s="60"/>
    </row>
    <row r="980" ht="15.75" customHeight="1">
      <c r="B980" s="60"/>
      <c r="J980" s="60"/>
    </row>
    <row r="981" ht="15.75" customHeight="1">
      <c r="B981" s="60"/>
      <c r="J981" s="60"/>
    </row>
    <row r="982" ht="15.75" customHeight="1">
      <c r="B982" s="60"/>
      <c r="J982" s="60"/>
    </row>
    <row r="983" ht="15.75" customHeight="1">
      <c r="B983" s="60"/>
      <c r="J983" s="60"/>
    </row>
    <row r="984" ht="15.75" customHeight="1">
      <c r="B984" s="60"/>
      <c r="J984" s="60"/>
    </row>
    <row r="985" ht="15.75" customHeight="1">
      <c r="B985" s="60"/>
      <c r="J985" s="60"/>
    </row>
    <row r="986" ht="15.75" customHeight="1">
      <c r="B986" s="60"/>
      <c r="J986" s="60"/>
    </row>
    <row r="987" ht="15.75" customHeight="1">
      <c r="B987" s="60"/>
      <c r="J987" s="60"/>
    </row>
    <row r="988" ht="15.75" customHeight="1">
      <c r="B988" s="60"/>
      <c r="J988" s="60"/>
    </row>
    <row r="989" ht="15.75" customHeight="1">
      <c r="B989" s="60"/>
      <c r="J989" s="60"/>
    </row>
    <row r="990" ht="15.75" customHeight="1">
      <c r="B990" s="60"/>
      <c r="J990" s="60"/>
    </row>
    <row r="991" ht="15.75" customHeight="1">
      <c r="B991" s="60"/>
      <c r="J991" s="60"/>
    </row>
    <row r="992" ht="15.75" customHeight="1">
      <c r="B992" s="60"/>
      <c r="J992" s="60"/>
    </row>
    <row r="993" ht="15.75" customHeight="1">
      <c r="B993" s="60"/>
      <c r="J993" s="60"/>
    </row>
    <row r="994" ht="15.75" customHeight="1">
      <c r="B994" s="60"/>
      <c r="J994" s="60"/>
    </row>
    <row r="995" ht="15.75" customHeight="1">
      <c r="B995" s="60"/>
      <c r="J995" s="60"/>
    </row>
    <row r="996" ht="15.75" customHeight="1">
      <c r="B996" s="60"/>
      <c r="J996" s="60"/>
    </row>
    <row r="997" ht="15.75" customHeight="1">
      <c r="B997" s="60"/>
      <c r="J997" s="60"/>
    </row>
    <row r="998" ht="15.75" customHeight="1">
      <c r="B998" s="60"/>
      <c r="J998" s="60"/>
    </row>
    <row r="999" ht="15.75" customHeight="1">
      <c r="B999" s="60"/>
      <c r="J999" s="60"/>
    </row>
    <row r="1000" ht="15.75" customHeight="1">
      <c r="B1000" s="60"/>
      <c r="J1000" s="60"/>
    </row>
  </sheetData>
  <autoFilter ref="$A$7:$O$57"/>
  <mergeCells count="2">
    <mergeCell ref="A1:O1"/>
    <mergeCell ref="A6:O6"/>
  </mergeCells>
  <conditionalFormatting sqref="I8:I57">
    <cfRule type="cellIs" dxfId="0" priority="1" operator="greaterThanOrEqual">
      <formula>0.5</formula>
    </cfRule>
  </conditionalFormatting>
  <conditionalFormatting sqref="J8:N57">
    <cfRule type="containsText" dxfId="0" priority="2" operator="containsText" text="OK">
      <formula>NOT(ISERROR(SEARCH(("OK"),(J8))))</formula>
    </cfRule>
  </conditionalFormatting>
  <conditionalFormatting sqref="J8:N57">
    <cfRule type="containsText" dxfId="0" priority="3" operator="containsText" text="ATENDIDA">
      <formula>NOT(ISERROR(SEARCH(("ATENDIDA"),(J8))))</formula>
    </cfRule>
  </conditionalFormatting>
  <conditionalFormatting sqref="J8:N57">
    <cfRule type="containsText" dxfId="1" priority="4" operator="containsText" text="REVISAR">
      <formula>NOT(ISERROR(SEARCH(("REVISAR"),(J8))))</formula>
    </cfRule>
  </conditionalFormatting>
  <conditionalFormatting sqref="J8:N57">
    <cfRule type="containsText" dxfId="2" priority="5" operator="containsText" text="PENDENTE">
      <formula>NOT(ISERROR(SEARCH(("PENDENTE"),(J8))))</formula>
    </cfRule>
  </conditionalFormatting>
  <conditionalFormatting sqref="J8:N57">
    <cfRule type="containsText" dxfId="1" priority="6" operator="containsText" text="ABAIXO">
      <formula>NOT(ISERROR(SEARCH(("ABAIXO"),(J8))))</formula>
    </cfRule>
  </conditionalFormatting>
  <conditionalFormatting sqref="J8:N57">
    <cfRule type="containsText" dxfId="1" priority="7" operator="containsText" text="SEM ARTIGO">
      <formula>NOT(ISERROR(SEARCH(("SEM ARTIGO"),(J8))))</formula>
    </cfRule>
  </conditionalFormatting>
  <dataValidations>
    <dataValidation type="decimal" allowBlank="1" sqref="E8:E57">
      <formula1>0.0</formula1>
      <formula2>60.0</formula2>
    </dataValidation>
    <dataValidation type="decimal" allowBlank="1" sqref="F8:F57">
      <formula1>1.0</formula1>
      <formula2>3.0</formula2>
    </dataValidation>
    <dataValidation type="list" allowBlank="1" sqref="A22:A24">
      <formula1>'Resumo por docente'!$A$8:$A$57</formula1>
    </dataValidation>
    <dataValidation type="list" allowBlank="1" showErrorMessage="1" sqref="B8:B57">
      <formula1>"Biodiversidade, Saúde Ambiental e Conservação,Inovação, Biotecnologia e Sustentabilidade Produtiva"</formula1>
    </dataValidation>
    <dataValidation type="list" allowBlank="1" sqref="C8:D57">
      <formula1>"sim,não"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2.38"/>
    <col customWidth="1" min="2" max="2" width="34.63"/>
    <col customWidth="1" min="3" max="3" width="7.75"/>
    <col customWidth="1" min="4" max="4" width="59.63"/>
    <col customWidth="1" min="5" max="5" width="31.88"/>
    <col customWidth="1" min="6" max="6" width="12.25"/>
    <col customWidth="1" min="7" max="7" width="15.0"/>
    <col customWidth="1" min="8" max="8" width="16.0"/>
    <col customWidth="1" min="9" max="9" width="18.38"/>
    <col customWidth="1" min="10" max="10" width="16.63"/>
    <col customWidth="1" min="11" max="12" width="10.5"/>
    <col customWidth="1" min="13" max="13" width="10.0"/>
    <col customWidth="1" min="14" max="14" width="9.5"/>
    <col customWidth="1" min="15" max="15" width="12.75"/>
    <col customWidth="1" min="16" max="16" width="24.5"/>
    <col customWidth="1" min="17" max="25" width="8.63"/>
  </cols>
  <sheetData>
    <row r="1" ht="43.5" customHeight="1">
      <c r="A1" s="5" t="s">
        <v>7</v>
      </c>
      <c r="B1" s="5" t="s">
        <v>12</v>
      </c>
      <c r="C1" s="5" t="s">
        <v>15</v>
      </c>
      <c r="D1" s="5" t="s">
        <v>16</v>
      </c>
      <c r="E1" s="5" t="s">
        <v>20</v>
      </c>
      <c r="F1" s="5" t="s">
        <v>21</v>
      </c>
      <c r="G1" s="5" t="s">
        <v>22</v>
      </c>
      <c r="H1" s="5" t="s">
        <v>24</v>
      </c>
      <c r="I1" s="13" t="s">
        <v>9</v>
      </c>
      <c r="J1" s="13" t="s">
        <v>10</v>
      </c>
      <c r="K1" s="5" t="s">
        <v>36</v>
      </c>
      <c r="L1" s="5" t="s">
        <v>41</v>
      </c>
      <c r="M1" s="5" t="s">
        <v>44</v>
      </c>
      <c r="N1" s="5" t="s">
        <v>46</v>
      </c>
      <c r="O1" s="5" t="s">
        <v>51</v>
      </c>
      <c r="P1" s="5" t="s">
        <v>54</v>
      </c>
    </row>
    <row r="2">
      <c r="A2" s="24" t="s">
        <v>77</v>
      </c>
      <c r="B2" s="28" t="str">
        <f>IF($A2="","",IFERROR(VLOOKUP($A2,'Resumo por docente'!$A$8:$B$57,2,FALSE),""))</f>
        <v>Biodiversidade, Saúde Ambiental e Conservação</v>
      </c>
      <c r="C2" s="31">
        <v>2026.0</v>
      </c>
      <c r="D2" s="24" t="s">
        <v>142</v>
      </c>
      <c r="E2" s="35" t="s">
        <v>143</v>
      </c>
      <c r="F2" s="38"/>
      <c r="G2" s="38"/>
      <c r="H2" s="41"/>
      <c r="I2" s="41"/>
      <c r="J2" s="41"/>
      <c r="K2" s="47" t="str">
        <f t="shared" ref="K2:K69" si="1">IF($A2="","",IF(OR($G2="WoS",$G2="Scopus"),IF($H2="","",IF($H2&gt;=87.5,1,IF($H2&gt;=75,0.875,IF($H2&gt;=62.5,0.75,IF($H2&gt;=50,0.625,IF($H2&gt;=37.5,0.5,IF($H2&gt;=25,0.375,IF($H2&gt;=12.5,0.25,IF($H2&gt;=0.01,0.125,0))))))))),IF($G2="Dimensions",IF(OR($I2="",$J2=""),"",MIN(IF($I2&gt;=87.5,1,IF($I2&gt;=75,0.875,IF($I2&gt;=62.5,0.75,IF($I2&gt;=50,0.625,IF($I2&gt;=37.5,0.5,IF($I2&gt;=25,0.375,IF($I2&gt;=12.5,0.25,IF($I2&gt;=0.01,0.125,0)))))))),IF($J2&gt;=2,1,IF($J2&gt;=1.5,0.875,IF($J2&gt;=1,0.75,IF($J2&gt;=0.75,0.625,IF($J2&gt;=0.5,0.5,IF($J2&gt;=0.25,0.375,IF($J2&gt;=0.125,0.25,IF($J2&gt;=0.01,0.125,0)))))))))),"")))</f>
        <v/>
      </c>
      <c r="L2" s="47" t="str">
        <f t="shared" ref="L2:L69" si="2">IF($A2="","",IF(AND($C2&gt;=2021,$C2&lt;=2026,$E2&lt;&gt;"",$K2&gt;0,LOWER($N2)="sim",LOWER($O2)="sim",OR(AND($F2="Exterior",OR($G2="WoS",$G2="Scopus")),AND($F2="Brasil",OR(AND(OR($G2="WoS",$G2="Scopus"),$H2&gt;=50),$G2="Dimensions")))),$K2,""))</f>
        <v/>
      </c>
      <c r="M2" s="41"/>
      <c r="N2" s="44" t="s">
        <v>177</v>
      </c>
      <c r="O2" s="44"/>
      <c r="P2" s="38"/>
    </row>
    <row r="3" ht="18.75" customHeight="1">
      <c r="A3" s="24" t="s">
        <v>77</v>
      </c>
      <c r="B3" s="28" t="str">
        <f>IF($A3="","",IFERROR(VLOOKUP($A3,'Resumo por docente'!$A$8:$B$57,2,FALSE),""))</f>
        <v>Biodiversidade, Saúde Ambiental e Conservação</v>
      </c>
      <c r="C3" s="31">
        <v>2026.0</v>
      </c>
      <c r="D3" s="50" t="s">
        <v>200</v>
      </c>
      <c r="E3" s="35" t="s">
        <v>201</v>
      </c>
      <c r="F3" s="38"/>
      <c r="G3" s="38"/>
      <c r="H3" s="41"/>
      <c r="I3" s="41"/>
      <c r="J3" s="41"/>
      <c r="K3" s="47" t="str">
        <f t="shared" si="1"/>
        <v/>
      </c>
      <c r="L3" s="47" t="str">
        <f t="shared" si="2"/>
        <v/>
      </c>
      <c r="M3" s="41"/>
      <c r="N3" s="44" t="s">
        <v>177</v>
      </c>
      <c r="O3" s="44"/>
      <c r="P3" s="38"/>
    </row>
    <row r="4">
      <c r="A4" s="24" t="s">
        <v>77</v>
      </c>
      <c r="B4" s="28" t="str">
        <f>IF($A4="","",IFERROR(VLOOKUP($A4,'Resumo por docente'!$A$8:$B$57,2,FALSE),""))</f>
        <v>Biodiversidade, Saúde Ambiental e Conservação</v>
      </c>
      <c r="C4" s="31">
        <v>2026.0</v>
      </c>
      <c r="D4" s="24" t="s">
        <v>203</v>
      </c>
      <c r="E4" s="35" t="s">
        <v>204</v>
      </c>
      <c r="F4" s="38"/>
      <c r="G4" s="38"/>
      <c r="H4" s="41"/>
      <c r="I4" s="41"/>
      <c r="J4" s="41"/>
      <c r="K4" s="47" t="str">
        <f t="shared" si="1"/>
        <v/>
      </c>
      <c r="L4" s="47" t="str">
        <f t="shared" si="2"/>
        <v/>
      </c>
      <c r="M4" s="41"/>
      <c r="N4" s="44" t="s">
        <v>177</v>
      </c>
      <c r="O4" s="44"/>
      <c r="P4" s="38"/>
    </row>
    <row r="5" ht="19.5" customHeight="1">
      <c r="A5" s="24" t="s">
        <v>77</v>
      </c>
      <c r="B5" s="28" t="str">
        <f>IF($A5="","",IFERROR(VLOOKUP($A5,'Resumo por docente'!$A$8:$B$57,2,FALSE),""))</f>
        <v>Biodiversidade, Saúde Ambiental e Conservação</v>
      </c>
      <c r="C5" s="31">
        <v>2025.0</v>
      </c>
      <c r="D5" s="24" t="s">
        <v>221</v>
      </c>
      <c r="E5" s="35" t="s">
        <v>222</v>
      </c>
      <c r="F5" s="38"/>
      <c r="G5" s="38"/>
      <c r="H5" s="41"/>
      <c r="I5" s="41"/>
      <c r="J5" s="41"/>
      <c r="K5" s="47" t="str">
        <f t="shared" si="1"/>
        <v/>
      </c>
      <c r="L5" s="47" t="str">
        <f t="shared" si="2"/>
        <v/>
      </c>
      <c r="M5" s="41"/>
      <c r="N5" s="44" t="s">
        <v>177</v>
      </c>
      <c r="O5" s="44"/>
      <c r="P5" s="38"/>
    </row>
    <row r="6" ht="21.0" customHeight="1">
      <c r="A6" s="24" t="s">
        <v>77</v>
      </c>
      <c r="B6" s="28" t="str">
        <f>IF($A6="","",IFERROR(VLOOKUP($A6,'Resumo por docente'!$A$8:$B$57,2,FALSE),""))</f>
        <v>Biodiversidade, Saúde Ambiental e Conservação</v>
      </c>
      <c r="C6" s="31">
        <v>2025.0</v>
      </c>
      <c r="D6" s="24" t="s">
        <v>225</v>
      </c>
      <c r="E6" s="35" t="s">
        <v>226</v>
      </c>
      <c r="F6" s="38"/>
      <c r="G6" s="38"/>
      <c r="H6" s="41"/>
      <c r="I6" s="41"/>
      <c r="J6" s="41"/>
      <c r="K6" s="47" t="str">
        <f t="shared" si="1"/>
        <v/>
      </c>
      <c r="L6" s="47" t="str">
        <f t="shared" si="2"/>
        <v/>
      </c>
      <c r="M6" s="41"/>
      <c r="N6" s="44" t="s">
        <v>177</v>
      </c>
      <c r="O6" s="44"/>
      <c r="P6" s="38"/>
    </row>
    <row r="7">
      <c r="A7" s="24" t="s">
        <v>77</v>
      </c>
      <c r="B7" s="28" t="str">
        <f>IF($A7="","",IFERROR(VLOOKUP($A7,'Resumo por docente'!$A$8:$B$57,2,FALSE),""))</f>
        <v>Biodiversidade, Saúde Ambiental e Conservação</v>
      </c>
      <c r="C7" s="31">
        <v>2025.0</v>
      </c>
      <c r="D7" s="24" t="s">
        <v>233</v>
      </c>
      <c r="E7" s="52"/>
      <c r="F7" s="38"/>
      <c r="G7" s="38"/>
      <c r="H7" s="41"/>
      <c r="I7" s="41"/>
      <c r="J7" s="41"/>
      <c r="K7" s="47" t="str">
        <f t="shared" si="1"/>
        <v/>
      </c>
      <c r="L7" s="47" t="str">
        <f t="shared" si="2"/>
        <v/>
      </c>
      <c r="M7" s="41"/>
      <c r="N7" s="44" t="s">
        <v>177</v>
      </c>
      <c r="O7" s="44"/>
      <c r="P7" s="38"/>
    </row>
    <row r="8" ht="21.0" customHeight="1">
      <c r="A8" s="24" t="s">
        <v>77</v>
      </c>
      <c r="B8" s="28" t="str">
        <f>IF($A8="","",IFERROR(VLOOKUP($A8,'Resumo por docente'!$A$8:$B$57,2,FALSE),""))</f>
        <v>Biodiversidade, Saúde Ambiental e Conservação</v>
      </c>
      <c r="C8" s="31">
        <v>2025.0</v>
      </c>
      <c r="D8" s="24" t="s">
        <v>243</v>
      </c>
      <c r="E8" s="52"/>
      <c r="F8" s="38"/>
      <c r="G8" s="38"/>
      <c r="H8" s="41"/>
      <c r="I8" s="41"/>
      <c r="J8" s="41"/>
      <c r="K8" s="47" t="str">
        <f t="shared" si="1"/>
        <v/>
      </c>
      <c r="L8" s="47" t="str">
        <f t="shared" si="2"/>
        <v/>
      </c>
      <c r="M8" s="41"/>
      <c r="N8" s="44" t="s">
        <v>177</v>
      </c>
      <c r="O8" s="44"/>
      <c r="P8" s="38"/>
    </row>
    <row r="9" ht="21.0" customHeight="1">
      <c r="A9" s="24" t="s">
        <v>77</v>
      </c>
      <c r="B9" s="28" t="str">
        <f>IF($A9="","",IFERROR(VLOOKUP($A9,'Resumo por docente'!$A$8:$B$57,2,FALSE),""))</f>
        <v>Biodiversidade, Saúde Ambiental e Conservação</v>
      </c>
      <c r="C9" s="31">
        <v>2025.0</v>
      </c>
      <c r="D9" s="24" t="s">
        <v>245</v>
      </c>
      <c r="E9" s="35" t="s">
        <v>246</v>
      </c>
      <c r="F9" s="38"/>
      <c r="G9" s="38"/>
      <c r="H9" s="41"/>
      <c r="I9" s="41"/>
      <c r="J9" s="41"/>
      <c r="K9" s="47" t="str">
        <f t="shared" si="1"/>
        <v/>
      </c>
      <c r="L9" s="47" t="str">
        <f t="shared" si="2"/>
        <v/>
      </c>
      <c r="M9" s="41"/>
      <c r="N9" s="44" t="s">
        <v>177</v>
      </c>
      <c r="O9" s="44"/>
      <c r="P9" s="38"/>
    </row>
    <row r="10">
      <c r="A10" s="24" t="s">
        <v>77</v>
      </c>
      <c r="B10" s="28" t="str">
        <f>IF($A10="","",IFERROR(VLOOKUP($A10,'Resumo por docente'!$A$8:$B$57,2,FALSE),""))</f>
        <v>Biodiversidade, Saúde Ambiental e Conservação</v>
      </c>
      <c r="C10" s="31">
        <v>2025.0</v>
      </c>
      <c r="D10" s="24" t="s">
        <v>250</v>
      </c>
      <c r="E10" s="35" t="s">
        <v>251</v>
      </c>
      <c r="F10" s="38"/>
      <c r="G10" s="38"/>
      <c r="H10" s="41"/>
      <c r="I10" s="41"/>
      <c r="J10" s="41"/>
      <c r="K10" s="47" t="str">
        <f t="shared" si="1"/>
        <v/>
      </c>
      <c r="L10" s="47" t="str">
        <f t="shared" si="2"/>
        <v/>
      </c>
      <c r="M10" s="41"/>
      <c r="N10" s="44" t="s">
        <v>177</v>
      </c>
      <c r="O10" s="44"/>
      <c r="P10" s="38"/>
    </row>
    <row r="11">
      <c r="A11" s="24" t="s">
        <v>77</v>
      </c>
      <c r="B11" s="28" t="str">
        <f>IF($A11="","",IFERROR(VLOOKUP($A11,'Resumo por docente'!$A$8:$B$57,2,FALSE),""))</f>
        <v>Biodiversidade, Saúde Ambiental e Conservação</v>
      </c>
      <c r="C11" s="31">
        <v>2024.0</v>
      </c>
      <c r="D11" s="24" t="s">
        <v>258</v>
      </c>
      <c r="E11" s="35" t="s">
        <v>259</v>
      </c>
      <c r="F11" s="38"/>
      <c r="G11" s="38"/>
      <c r="H11" s="41"/>
      <c r="I11" s="41"/>
      <c r="J11" s="41"/>
      <c r="K11" s="47" t="str">
        <f t="shared" si="1"/>
        <v/>
      </c>
      <c r="L11" s="47" t="str">
        <f t="shared" si="2"/>
        <v/>
      </c>
      <c r="M11" s="41"/>
      <c r="N11" s="44" t="s">
        <v>177</v>
      </c>
      <c r="O11" s="44"/>
      <c r="P11" s="38"/>
    </row>
    <row r="12">
      <c r="A12" s="24" t="s">
        <v>77</v>
      </c>
      <c r="B12" s="28" t="str">
        <f>IF($A12="","",IFERROR(VLOOKUP($A12,'Resumo por docente'!$A$8:$B$57,2,FALSE),""))</f>
        <v>Biodiversidade, Saúde Ambiental e Conservação</v>
      </c>
      <c r="C12" s="31">
        <v>2024.0</v>
      </c>
      <c r="D12" s="24" t="s">
        <v>261</v>
      </c>
      <c r="E12" s="35" t="s">
        <v>262</v>
      </c>
      <c r="F12" s="38"/>
      <c r="G12" s="38"/>
      <c r="H12" s="41"/>
      <c r="I12" s="41"/>
      <c r="J12" s="41"/>
      <c r="K12" s="47" t="str">
        <f t="shared" si="1"/>
        <v/>
      </c>
      <c r="L12" s="47" t="str">
        <f t="shared" si="2"/>
        <v/>
      </c>
      <c r="M12" s="41"/>
      <c r="N12" s="44" t="s">
        <v>177</v>
      </c>
      <c r="O12" s="44"/>
      <c r="P12" s="38"/>
    </row>
    <row r="13">
      <c r="A13" s="24" t="s">
        <v>77</v>
      </c>
      <c r="B13" s="28" t="str">
        <f>IF($A13="","",IFERROR(VLOOKUP($A13,'Resumo por docente'!$A$8:$B$57,2,FALSE),""))</f>
        <v>Biodiversidade, Saúde Ambiental e Conservação</v>
      </c>
      <c r="C13" s="31">
        <v>2023.0</v>
      </c>
      <c r="D13" s="24" t="s">
        <v>269</v>
      </c>
      <c r="E13" s="35" t="s">
        <v>270</v>
      </c>
      <c r="F13" s="38"/>
      <c r="G13" s="38"/>
      <c r="H13" s="41"/>
      <c r="I13" s="41"/>
      <c r="J13" s="41"/>
      <c r="K13" s="47" t="str">
        <f t="shared" si="1"/>
        <v/>
      </c>
      <c r="L13" s="47" t="str">
        <f t="shared" si="2"/>
        <v/>
      </c>
      <c r="M13" s="41"/>
      <c r="N13" s="44" t="s">
        <v>177</v>
      </c>
      <c r="O13" s="44"/>
      <c r="P13" s="38"/>
    </row>
    <row r="14">
      <c r="A14" s="24" t="s">
        <v>77</v>
      </c>
      <c r="B14" s="28" t="str">
        <f>IF($A14="","",IFERROR(VLOOKUP($A14,'Resumo por docente'!$A$8:$B$57,2,FALSE),""))</f>
        <v>Biodiversidade, Saúde Ambiental e Conservação</v>
      </c>
      <c r="C14" s="31">
        <v>2023.0</v>
      </c>
      <c r="D14" s="24" t="s">
        <v>272</v>
      </c>
      <c r="E14" s="35" t="s">
        <v>273</v>
      </c>
      <c r="F14" s="38"/>
      <c r="G14" s="38"/>
      <c r="H14" s="41"/>
      <c r="I14" s="41"/>
      <c r="J14" s="41"/>
      <c r="K14" s="47" t="str">
        <f t="shared" si="1"/>
        <v/>
      </c>
      <c r="L14" s="47" t="str">
        <f t="shared" si="2"/>
        <v/>
      </c>
      <c r="M14" s="41"/>
      <c r="N14" s="44" t="s">
        <v>177</v>
      </c>
      <c r="O14" s="44"/>
      <c r="P14" s="38"/>
    </row>
    <row r="15">
      <c r="A15" s="24" t="s">
        <v>77</v>
      </c>
      <c r="B15" s="28" t="str">
        <f>IF($A15="","",IFERROR(VLOOKUP($A15,'Resumo por docente'!$A$8:$B$57,2,FALSE),""))</f>
        <v>Biodiversidade, Saúde Ambiental e Conservação</v>
      </c>
      <c r="C15" s="31">
        <v>2022.0</v>
      </c>
      <c r="D15" s="24" t="s">
        <v>282</v>
      </c>
      <c r="E15" s="35" t="s">
        <v>283</v>
      </c>
      <c r="F15" s="38"/>
      <c r="G15" s="38"/>
      <c r="H15" s="41"/>
      <c r="I15" s="41"/>
      <c r="J15" s="41"/>
      <c r="K15" s="47" t="str">
        <f t="shared" si="1"/>
        <v/>
      </c>
      <c r="L15" s="47" t="str">
        <f t="shared" si="2"/>
        <v/>
      </c>
      <c r="M15" s="41"/>
      <c r="N15" s="44" t="s">
        <v>177</v>
      </c>
      <c r="O15" s="44"/>
      <c r="P15" s="38"/>
    </row>
    <row r="16">
      <c r="A16" s="24" t="s">
        <v>77</v>
      </c>
      <c r="B16" s="28" t="str">
        <f>IF($A16="","",IFERROR(VLOOKUP($A16,'Resumo por docente'!$A$8:$B$57,2,FALSE),""))</f>
        <v>Biodiversidade, Saúde Ambiental e Conservação</v>
      </c>
      <c r="C16" s="31">
        <v>2022.0</v>
      </c>
      <c r="D16" s="24" t="s">
        <v>285</v>
      </c>
      <c r="E16" s="35" t="s">
        <v>287</v>
      </c>
      <c r="F16" s="38"/>
      <c r="G16" s="38"/>
      <c r="H16" s="41"/>
      <c r="I16" s="41"/>
      <c r="J16" s="41"/>
      <c r="K16" s="47" t="str">
        <f t="shared" si="1"/>
        <v/>
      </c>
      <c r="L16" s="47" t="str">
        <f t="shared" si="2"/>
        <v/>
      </c>
      <c r="M16" s="41"/>
      <c r="N16" s="44" t="s">
        <v>177</v>
      </c>
      <c r="O16" s="44"/>
      <c r="P16" s="38"/>
    </row>
    <row r="17">
      <c r="A17" s="24" t="s">
        <v>77</v>
      </c>
      <c r="B17" s="28" t="str">
        <f>IF($A17="","",IFERROR(VLOOKUP($A17,'Resumo por docente'!$A$8:$B$57,2,FALSE),""))</f>
        <v>Biodiversidade, Saúde Ambiental e Conservação</v>
      </c>
      <c r="C17" s="31">
        <v>2022.0</v>
      </c>
      <c r="D17" s="24" t="s">
        <v>296</v>
      </c>
      <c r="E17" s="35" t="s">
        <v>297</v>
      </c>
      <c r="F17" s="38"/>
      <c r="G17" s="38"/>
      <c r="H17" s="41"/>
      <c r="I17" s="41"/>
      <c r="J17" s="41"/>
      <c r="K17" s="47" t="str">
        <f t="shared" si="1"/>
        <v/>
      </c>
      <c r="L17" s="47" t="str">
        <f t="shared" si="2"/>
        <v/>
      </c>
      <c r="M17" s="41"/>
      <c r="N17" s="44" t="s">
        <v>177</v>
      </c>
      <c r="O17" s="44"/>
      <c r="P17" s="38"/>
    </row>
    <row r="18">
      <c r="A18" s="24" t="s">
        <v>77</v>
      </c>
      <c r="B18" s="28" t="str">
        <f>IF($A18="","",IFERROR(VLOOKUP($A18,'Resumo por docente'!$A$8:$B$57,2,FALSE),""))</f>
        <v>Biodiversidade, Saúde Ambiental e Conservação</v>
      </c>
      <c r="C18" s="31">
        <v>2022.0</v>
      </c>
      <c r="D18" s="24" t="s">
        <v>299</v>
      </c>
      <c r="E18" s="35" t="s">
        <v>300</v>
      </c>
      <c r="F18" s="38"/>
      <c r="G18" s="38"/>
      <c r="H18" s="41"/>
      <c r="I18" s="41"/>
      <c r="J18" s="41"/>
      <c r="K18" s="47" t="str">
        <f t="shared" si="1"/>
        <v/>
      </c>
      <c r="L18" s="47" t="str">
        <f t="shared" si="2"/>
        <v/>
      </c>
      <c r="M18" s="41"/>
      <c r="N18" s="44" t="s">
        <v>177</v>
      </c>
      <c r="O18" s="44"/>
      <c r="P18" s="38"/>
    </row>
    <row r="19">
      <c r="A19" s="24" t="s">
        <v>77</v>
      </c>
      <c r="B19" s="28" t="str">
        <f>IF($A19="","",IFERROR(VLOOKUP($A19,'Resumo por docente'!$A$8:$B$57,2,FALSE),""))</f>
        <v>Biodiversidade, Saúde Ambiental e Conservação</v>
      </c>
      <c r="C19" s="31">
        <v>2022.0</v>
      </c>
      <c r="D19" s="24" t="s">
        <v>306</v>
      </c>
      <c r="E19" s="35" t="s">
        <v>307</v>
      </c>
      <c r="F19" s="38"/>
      <c r="G19" s="38"/>
      <c r="H19" s="41"/>
      <c r="I19" s="41"/>
      <c r="J19" s="41"/>
      <c r="K19" s="47" t="str">
        <f t="shared" si="1"/>
        <v/>
      </c>
      <c r="L19" s="47" t="str">
        <f t="shared" si="2"/>
        <v/>
      </c>
      <c r="M19" s="41"/>
      <c r="N19" s="44" t="s">
        <v>177</v>
      </c>
      <c r="O19" s="44"/>
      <c r="P19" s="38"/>
    </row>
    <row r="20" ht="15.75" customHeight="1">
      <c r="A20" s="24" t="s">
        <v>310</v>
      </c>
      <c r="B20" s="28" t="str">
        <f>IF($A20="","",IFERROR(VLOOKUP($A20,'Resumo por docente'!$A$8:$B$57,2,FALSE),""))</f>
        <v>Biodiversidade, Saúde Ambiental e Conservação</v>
      </c>
      <c r="C20" s="31">
        <v>2025.0</v>
      </c>
      <c r="D20" s="24" t="s">
        <v>311</v>
      </c>
      <c r="E20" s="35" t="s">
        <v>312</v>
      </c>
      <c r="F20" s="38"/>
      <c r="G20" s="38"/>
      <c r="H20" s="41"/>
      <c r="I20" s="41"/>
      <c r="J20" s="41"/>
      <c r="K20" s="47" t="str">
        <f t="shared" si="1"/>
        <v/>
      </c>
      <c r="L20" s="47" t="str">
        <f t="shared" si="2"/>
        <v/>
      </c>
      <c r="M20" s="41"/>
      <c r="N20" s="44" t="s">
        <v>177</v>
      </c>
      <c r="O20" s="44"/>
      <c r="P20" s="38"/>
    </row>
    <row r="21" ht="15.75" customHeight="1">
      <c r="A21" s="24" t="s">
        <v>310</v>
      </c>
      <c r="B21" s="28" t="str">
        <f>IF($A21="","",IFERROR(VLOOKUP($A21,'Resumo por docente'!$A$8:$B$57,2,FALSE),""))</f>
        <v>Biodiversidade, Saúde Ambiental e Conservação</v>
      </c>
      <c r="C21" s="31">
        <v>2023.0</v>
      </c>
      <c r="D21" s="24" t="s">
        <v>314</v>
      </c>
      <c r="E21" s="35" t="s">
        <v>315</v>
      </c>
      <c r="F21" s="38"/>
      <c r="G21" s="38"/>
      <c r="H21" s="41"/>
      <c r="I21" s="41"/>
      <c r="J21" s="41"/>
      <c r="K21" s="47" t="str">
        <f t="shared" si="1"/>
        <v/>
      </c>
      <c r="L21" s="47" t="str">
        <f t="shared" si="2"/>
        <v/>
      </c>
      <c r="M21" s="41"/>
      <c r="N21" s="44" t="s">
        <v>177</v>
      </c>
      <c r="O21" s="44"/>
      <c r="P21" s="38"/>
    </row>
    <row r="22" ht="15.75" customHeight="1">
      <c r="A22" s="24" t="s">
        <v>310</v>
      </c>
      <c r="B22" s="28" t="str">
        <f>IF($A22="","",IFERROR(VLOOKUP($A22,'Resumo por docente'!$A$8:$B$57,2,FALSE),""))</f>
        <v>Biodiversidade, Saúde Ambiental e Conservação</v>
      </c>
      <c r="C22" s="31">
        <v>2022.0</v>
      </c>
      <c r="D22" s="24" t="s">
        <v>326</v>
      </c>
      <c r="E22" s="35" t="s">
        <v>327</v>
      </c>
      <c r="F22" s="38"/>
      <c r="G22" s="38"/>
      <c r="H22" s="41"/>
      <c r="I22" s="41"/>
      <c r="J22" s="41"/>
      <c r="K22" s="47" t="str">
        <f t="shared" si="1"/>
        <v/>
      </c>
      <c r="L22" s="47" t="str">
        <f t="shared" si="2"/>
        <v/>
      </c>
      <c r="M22" s="41"/>
      <c r="N22" s="44" t="s">
        <v>177</v>
      </c>
      <c r="O22" s="44"/>
      <c r="P22" s="38"/>
    </row>
    <row r="23" ht="15.75" customHeight="1">
      <c r="A23" s="24" t="s">
        <v>328</v>
      </c>
      <c r="B23" s="28" t="str">
        <f>IF($A23="","",IFERROR(VLOOKUP($A23,'Resumo por docente'!$A$8:$B$57,2,FALSE),""))</f>
        <v>Biodiversidade, Saúde Ambiental e Conservação</v>
      </c>
      <c r="C23" s="31">
        <v>2026.0</v>
      </c>
      <c r="D23" s="24" t="s">
        <v>331</v>
      </c>
      <c r="E23" s="35" t="s">
        <v>333</v>
      </c>
      <c r="F23" s="38"/>
      <c r="G23" s="38"/>
      <c r="H23" s="41"/>
      <c r="I23" s="41"/>
      <c r="J23" s="41"/>
      <c r="K23" s="47" t="str">
        <f t="shared" si="1"/>
        <v/>
      </c>
      <c r="L23" s="47" t="str">
        <f t="shared" si="2"/>
        <v/>
      </c>
      <c r="M23" s="41"/>
      <c r="N23" s="44" t="s">
        <v>177</v>
      </c>
      <c r="O23" s="44"/>
      <c r="P23" s="38"/>
    </row>
    <row r="24" ht="15.75" customHeight="1">
      <c r="A24" s="24" t="s">
        <v>328</v>
      </c>
      <c r="B24" s="28" t="str">
        <f>IF($A24="","",IFERROR(VLOOKUP($A24,'Resumo por docente'!$A$8:$B$57,2,FALSE),""))</f>
        <v>Biodiversidade, Saúde Ambiental e Conservação</v>
      </c>
      <c r="C24" s="31">
        <v>2026.0</v>
      </c>
      <c r="D24" s="24" t="s">
        <v>337</v>
      </c>
      <c r="E24" s="35" t="s">
        <v>338</v>
      </c>
      <c r="F24" s="38"/>
      <c r="G24" s="38"/>
      <c r="H24" s="41"/>
      <c r="I24" s="41"/>
      <c r="J24" s="41"/>
      <c r="K24" s="47" t="str">
        <f t="shared" si="1"/>
        <v/>
      </c>
      <c r="L24" s="47" t="str">
        <f t="shared" si="2"/>
        <v/>
      </c>
      <c r="M24" s="41"/>
      <c r="N24" s="44" t="s">
        <v>177</v>
      </c>
      <c r="O24" s="44"/>
      <c r="P24" s="38"/>
    </row>
    <row r="25" ht="15.75" customHeight="1">
      <c r="A25" s="24" t="s">
        <v>328</v>
      </c>
      <c r="B25" s="28" t="str">
        <f>IF($A25="","",IFERROR(VLOOKUP($A25,'Resumo por docente'!$A$8:$B$57,2,FALSE),""))</f>
        <v>Biodiversidade, Saúde Ambiental e Conservação</v>
      </c>
      <c r="C25" s="31">
        <v>2025.0</v>
      </c>
      <c r="D25" s="24" t="s">
        <v>340</v>
      </c>
      <c r="E25" s="35" t="s">
        <v>341</v>
      </c>
      <c r="F25" s="38"/>
      <c r="G25" s="38"/>
      <c r="H25" s="41"/>
      <c r="I25" s="41"/>
      <c r="J25" s="41"/>
      <c r="K25" s="47" t="str">
        <f t="shared" si="1"/>
        <v/>
      </c>
      <c r="L25" s="47" t="str">
        <f t="shared" si="2"/>
        <v/>
      </c>
      <c r="M25" s="41"/>
      <c r="N25" s="44" t="s">
        <v>177</v>
      </c>
      <c r="O25" s="44"/>
      <c r="P25" s="38"/>
    </row>
    <row r="26" ht="15.75" customHeight="1">
      <c r="A26" s="24" t="s">
        <v>328</v>
      </c>
      <c r="B26" s="28" t="str">
        <f>IF($A26="","",IFERROR(VLOOKUP($A26,'Resumo por docente'!$A$8:$B$57,2,FALSE),""))</f>
        <v>Biodiversidade, Saúde Ambiental e Conservação</v>
      </c>
      <c r="C26" s="31">
        <v>2025.0</v>
      </c>
      <c r="D26" s="24" t="s">
        <v>342</v>
      </c>
      <c r="E26" s="52"/>
      <c r="F26" s="38"/>
      <c r="G26" s="38"/>
      <c r="H26" s="41"/>
      <c r="I26" s="41"/>
      <c r="J26" s="41"/>
      <c r="K26" s="47" t="str">
        <f t="shared" si="1"/>
        <v/>
      </c>
      <c r="L26" s="47" t="str">
        <f t="shared" si="2"/>
        <v/>
      </c>
      <c r="M26" s="41"/>
      <c r="N26" s="44" t="s">
        <v>177</v>
      </c>
      <c r="O26" s="44"/>
      <c r="P26" s="38"/>
    </row>
    <row r="27" ht="15.75" customHeight="1">
      <c r="A27" s="24" t="s">
        <v>328</v>
      </c>
      <c r="B27" s="28" t="str">
        <f>IF($A27="","",IFERROR(VLOOKUP($A27,'Resumo por docente'!$A$8:$B$57,2,FALSE),""))</f>
        <v>Biodiversidade, Saúde Ambiental e Conservação</v>
      </c>
      <c r="C27" s="31">
        <v>2025.0</v>
      </c>
      <c r="D27" s="24" t="s">
        <v>343</v>
      </c>
      <c r="E27" s="35" t="s">
        <v>344</v>
      </c>
      <c r="F27" s="38"/>
      <c r="G27" s="38"/>
      <c r="H27" s="41"/>
      <c r="I27" s="41"/>
      <c r="J27" s="41"/>
      <c r="K27" s="47" t="str">
        <f t="shared" si="1"/>
        <v/>
      </c>
      <c r="L27" s="47" t="str">
        <f t="shared" si="2"/>
        <v/>
      </c>
      <c r="M27" s="41"/>
      <c r="N27" s="44" t="s">
        <v>177</v>
      </c>
      <c r="O27" s="44"/>
      <c r="P27" s="38"/>
    </row>
    <row r="28" ht="15.75" customHeight="1">
      <c r="A28" s="24" t="s">
        <v>328</v>
      </c>
      <c r="B28" s="28" t="str">
        <f>IF($A28="","",IFERROR(VLOOKUP($A28,'Resumo por docente'!$A$8:$B$57,2,FALSE),""))</f>
        <v>Biodiversidade, Saúde Ambiental e Conservação</v>
      </c>
      <c r="C28" s="31">
        <v>2025.0</v>
      </c>
      <c r="D28" s="24" t="s">
        <v>345</v>
      </c>
      <c r="E28" s="35" t="s">
        <v>346</v>
      </c>
      <c r="F28" s="38"/>
      <c r="G28" s="38"/>
      <c r="H28" s="41"/>
      <c r="I28" s="41"/>
      <c r="J28" s="41"/>
      <c r="K28" s="47" t="str">
        <f t="shared" si="1"/>
        <v/>
      </c>
      <c r="L28" s="47" t="str">
        <f t="shared" si="2"/>
        <v/>
      </c>
      <c r="M28" s="41"/>
      <c r="N28" s="44" t="s">
        <v>177</v>
      </c>
      <c r="O28" s="44"/>
      <c r="P28" s="38"/>
    </row>
    <row r="29" ht="15.75" customHeight="1">
      <c r="A29" s="24" t="s">
        <v>328</v>
      </c>
      <c r="B29" s="28" t="str">
        <f>IF($A29="","",IFERROR(VLOOKUP($A29,'Resumo por docente'!$A$8:$B$57,2,FALSE),""))</f>
        <v>Biodiversidade, Saúde Ambiental e Conservação</v>
      </c>
      <c r="C29" s="31">
        <v>2024.0</v>
      </c>
      <c r="D29" s="24" t="s">
        <v>348</v>
      </c>
      <c r="E29" s="35" t="s">
        <v>349</v>
      </c>
      <c r="F29" s="38"/>
      <c r="G29" s="38"/>
      <c r="H29" s="41"/>
      <c r="I29" s="41"/>
      <c r="J29" s="41"/>
      <c r="K29" s="47" t="str">
        <f t="shared" si="1"/>
        <v/>
      </c>
      <c r="L29" s="47" t="str">
        <f t="shared" si="2"/>
        <v/>
      </c>
      <c r="M29" s="41"/>
      <c r="N29" s="44" t="s">
        <v>177</v>
      </c>
      <c r="O29" s="44"/>
      <c r="P29" s="38"/>
    </row>
    <row r="30" ht="15.75" customHeight="1">
      <c r="A30" s="24" t="s">
        <v>328</v>
      </c>
      <c r="B30" s="28" t="str">
        <f>IF($A30="","",IFERROR(VLOOKUP($A30,'Resumo por docente'!$A$8:$B$57,2,FALSE),""))</f>
        <v>Biodiversidade, Saúde Ambiental e Conservação</v>
      </c>
      <c r="C30" s="31">
        <v>2024.0</v>
      </c>
      <c r="D30" s="24" t="s">
        <v>350</v>
      </c>
      <c r="E30" s="35" t="s">
        <v>351</v>
      </c>
      <c r="F30" s="38"/>
      <c r="G30" s="38"/>
      <c r="H30" s="41"/>
      <c r="I30" s="41"/>
      <c r="J30" s="41"/>
      <c r="K30" s="47" t="str">
        <f t="shared" si="1"/>
        <v/>
      </c>
      <c r="L30" s="47" t="str">
        <f t="shared" si="2"/>
        <v/>
      </c>
      <c r="M30" s="41"/>
      <c r="N30" s="44" t="s">
        <v>177</v>
      </c>
      <c r="O30" s="44"/>
      <c r="P30" s="38"/>
    </row>
    <row r="31" ht="15.75" customHeight="1">
      <c r="A31" s="24" t="s">
        <v>328</v>
      </c>
      <c r="B31" s="28" t="str">
        <f>IF($A31="","",IFERROR(VLOOKUP($A31,'Resumo por docente'!$A$8:$B$57,2,FALSE),""))</f>
        <v>Biodiversidade, Saúde Ambiental e Conservação</v>
      </c>
      <c r="C31" s="31">
        <v>2024.0</v>
      </c>
      <c r="D31" s="24" t="s">
        <v>352</v>
      </c>
      <c r="E31" s="35" t="s">
        <v>353</v>
      </c>
      <c r="F31" s="38"/>
      <c r="G31" s="38"/>
      <c r="H31" s="41"/>
      <c r="I31" s="41"/>
      <c r="J31" s="41"/>
      <c r="K31" s="47" t="str">
        <f t="shared" si="1"/>
        <v/>
      </c>
      <c r="L31" s="47" t="str">
        <f t="shared" si="2"/>
        <v/>
      </c>
      <c r="M31" s="41"/>
      <c r="N31" s="44" t="s">
        <v>177</v>
      </c>
      <c r="O31" s="44"/>
      <c r="P31" s="38"/>
    </row>
    <row r="32" ht="15.75" customHeight="1">
      <c r="A32" s="24" t="s">
        <v>328</v>
      </c>
      <c r="B32" s="28" t="str">
        <f>IF($A32="","",IFERROR(VLOOKUP($A32,'Resumo por docente'!$A$8:$B$57,2,FALSE),""))</f>
        <v>Biodiversidade, Saúde Ambiental e Conservação</v>
      </c>
      <c r="C32" s="31">
        <v>2023.0</v>
      </c>
      <c r="D32" s="24" t="s">
        <v>354</v>
      </c>
      <c r="E32" s="52"/>
      <c r="F32" s="38"/>
      <c r="G32" s="38"/>
      <c r="H32" s="41"/>
      <c r="I32" s="41"/>
      <c r="J32" s="41"/>
      <c r="K32" s="47" t="str">
        <f t="shared" si="1"/>
        <v/>
      </c>
      <c r="L32" s="47" t="str">
        <f t="shared" si="2"/>
        <v/>
      </c>
      <c r="M32" s="41"/>
      <c r="N32" s="44" t="s">
        <v>177</v>
      </c>
      <c r="O32" s="44"/>
      <c r="P32" s="38"/>
    </row>
    <row r="33" ht="15.75" customHeight="1">
      <c r="A33" s="24" t="s">
        <v>328</v>
      </c>
      <c r="B33" s="28" t="str">
        <f>IF($A33="","",IFERROR(VLOOKUP($A33,'Resumo por docente'!$A$8:$B$57,2,FALSE),""))</f>
        <v>Biodiversidade, Saúde Ambiental e Conservação</v>
      </c>
      <c r="C33" s="31">
        <v>2023.0</v>
      </c>
      <c r="D33" s="24" t="s">
        <v>355</v>
      </c>
      <c r="E33" s="35" t="s">
        <v>356</v>
      </c>
      <c r="F33" s="38"/>
      <c r="G33" s="38"/>
      <c r="H33" s="41"/>
      <c r="I33" s="41"/>
      <c r="J33" s="41"/>
      <c r="K33" s="47" t="str">
        <f t="shared" si="1"/>
        <v/>
      </c>
      <c r="L33" s="47" t="str">
        <f t="shared" si="2"/>
        <v/>
      </c>
      <c r="M33" s="41"/>
      <c r="N33" s="44" t="s">
        <v>177</v>
      </c>
      <c r="O33" s="44"/>
      <c r="P33" s="38"/>
    </row>
    <row r="34" ht="15.75" customHeight="1">
      <c r="A34" s="24" t="s">
        <v>328</v>
      </c>
      <c r="B34" s="28" t="str">
        <f>IF($A34="","",IFERROR(VLOOKUP($A34,'Resumo por docente'!$A$8:$B$57,2,FALSE),""))</f>
        <v>Biodiversidade, Saúde Ambiental e Conservação</v>
      </c>
      <c r="C34" s="31">
        <v>2022.0</v>
      </c>
      <c r="D34" s="24" t="s">
        <v>357</v>
      </c>
      <c r="E34" s="35" t="s">
        <v>358</v>
      </c>
      <c r="F34" s="38"/>
      <c r="G34" s="38"/>
      <c r="H34" s="41"/>
      <c r="I34" s="41"/>
      <c r="J34" s="41"/>
      <c r="K34" s="47" t="str">
        <f t="shared" si="1"/>
        <v/>
      </c>
      <c r="L34" s="47" t="str">
        <f t="shared" si="2"/>
        <v/>
      </c>
      <c r="M34" s="41"/>
      <c r="N34" s="44" t="s">
        <v>177</v>
      </c>
      <c r="O34" s="44"/>
      <c r="P34" s="38"/>
    </row>
    <row r="35" ht="15.75" customHeight="1">
      <c r="A35" s="24" t="s">
        <v>328</v>
      </c>
      <c r="B35" s="28" t="str">
        <f>IF($A35="","",IFERROR(VLOOKUP($A35,'Resumo por docente'!$A$8:$B$57,2,FALSE),""))</f>
        <v>Biodiversidade, Saúde Ambiental e Conservação</v>
      </c>
      <c r="C35" s="31">
        <v>2022.0</v>
      </c>
      <c r="D35" s="24" t="s">
        <v>357</v>
      </c>
      <c r="E35" s="35" t="s">
        <v>358</v>
      </c>
      <c r="F35" s="38"/>
      <c r="G35" s="38"/>
      <c r="H35" s="41"/>
      <c r="I35" s="41"/>
      <c r="J35" s="41"/>
      <c r="K35" s="47" t="str">
        <f t="shared" si="1"/>
        <v/>
      </c>
      <c r="L35" s="47" t="str">
        <f t="shared" si="2"/>
        <v/>
      </c>
      <c r="M35" s="41"/>
      <c r="N35" s="44" t="s">
        <v>177</v>
      </c>
      <c r="O35" s="44"/>
      <c r="P35" s="38"/>
    </row>
    <row r="36" ht="15.75" customHeight="1">
      <c r="A36" s="24" t="s">
        <v>359</v>
      </c>
      <c r="B36" s="28" t="str">
        <f>IF($A36="","",IFERROR(VLOOKUP($A36,'Resumo por docente'!$A$8:$B$57,2,FALSE),""))</f>
        <v/>
      </c>
      <c r="C36" s="31">
        <v>2026.0</v>
      </c>
      <c r="D36" s="24" t="s">
        <v>360</v>
      </c>
      <c r="E36" s="35" t="s">
        <v>361</v>
      </c>
      <c r="F36" s="38"/>
      <c r="G36" s="38"/>
      <c r="H36" s="41"/>
      <c r="I36" s="41"/>
      <c r="J36" s="41"/>
      <c r="K36" s="47" t="str">
        <f t="shared" si="1"/>
        <v/>
      </c>
      <c r="L36" s="47" t="str">
        <f t="shared" si="2"/>
        <v/>
      </c>
      <c r="M36" s="41"/>
      <c r="N36" s="44" t="s">
        <v>177</v>
      </c>
      <c r="O36" s="44"/>
      <c r="P36" s="38"/>
    </row>
    <row r="37" ht="15.75" customHeight="1">
      <c r="A37" s="24" t="s">
        <v>359</v>
      </c>
      <c r="B37" s="28" t="str">
        <f>IF($A37="","",IFERROR(VLOOKUP($A37,'Resumo por docente'!$A$8:$B$57,2,FALSE),""))</f>
        <v/>
      </c>
      <c r="C37" s="31">
        <v>2025.0</v>
      </c>
      <c r="D37" s="24" t="s">
        <v>362</v>
      </c>
      <c r="E37" s="35" t="s">
        <v>363</v>
      </c>
      <c r="F37" s="38"/>
      <c r="G37" s="38"/>
      <c r="H37" s="41"/>
      <c r="I37" s="41"/>
      <c r="J37" s="41"/>
      <c r="K37" s="47" t="str">
        <f t="shared" si="1"/>
        <v/>
      </c>
      <c r="L37" s="47" t="str">
        <f t="shared" si="2"/>
        <v/>
      </c>
      <c r="M37" s="41"/>
      <c r="N37" s="44" t="s">
        <v>177</v>
      </c>
      <c r="O37" s="44"/>
      <c r="P37" s="38"/>
    </row>
    <row r="38" ht="15.75" customHeight="1">
      <c r="A38" s="24" t="s">
        <v>359</v>
      </c>
      <c r="B38" s="28" t="str">
        <f>IF($A38="","",IFERROR(VLOOKUP($A38,'Resumo por docente'!$A$8:$B$57,2,FALSE),""))</f>
        <v/>
      </c>
      <c r="C38" s="31">
        <v>2025.0</v>
      </c>
      <c r="D38" s="24" t="s">
        <v>364</v>
      </c>
      <c r="E38" s="35" t="s">
        <v>365</v>
      </c>
      <c r="F38" s="38"/>
      <c r="G38" s="38"/>
      <c r="H38" s="41"/>
      <c r="I38" s="41"/>
      <c r="J38" s="41"/>
      <c r="K38" s="47" t="str">
        <f t="shared" si="1"/>
        <v/>
      </c>
      <c r="L38" s="47" t="str">
        <f t="shared" si="2"/>
        <v/>
      </c>
      <c r="M38" s="41"/>
      <c r="N38" s="44" t="s">
        <v>177</v>
      </c>
      <c r="O38" s="44"/>
      <c r="P38" s="38"/>
    </row>
    <row r="39" ht="15.75" customHeight="1">
      <c r="A39" s="24" t="s">
        <v>359</v>
      </c>
      <c r="B39" s="28" t="str">
        <f>IF($A39="","",IFERROR(VLOOKUP($A39,'Resumo por docente'!$A$8:$B$57,2,FALSE),""))</f>
        <v/>
      </c>
      <c r="C39" s="31">
        <v>2023.0</v>
      </c>
      <c r="D39" s="24" t="s">
        <v>366</v>
      </c>
      <c r="E39" s="35" t="s">
        <v>367</v>
      </c>
      <c r="F39" s="38"/>
      <c r="G39" s="38"/>
      <c r="H39" s="41"/>
      <c r="I39" s="41"/>
      <c r="J39" s="41"/>
      <c r="K39" s="47" t="str">
        <f t="shared" si="1"/>
        <v/>
      </c>
      <c r="L39" s="47" t="str">
        <f t="shared" si="2"/>
        <v/>
      </c>
      <c r="M39" s="41"/>
      <c r="N39" s="44" t="s">
        <v>177</v>
      </c>
      <c r="O39" s="44"/>
      <c r="P39" s="38"/>
    </row>
    <row r="40" ht="15.75" customHeight="1">
      <c r="A40" s="24" t="s">
        <v>359</v>
      </c>
      <c r="B40" s="28" t="str">
        <f>IF($A40="","",IFERROR(VLOOKUP($A40,'Resumo por docente'!$A$8:$B$57,2,FALSE),""))</f>
        <v/>
      </c>
      <c r="C40" s="31">
        <v>2022.0</v>
      </c>
      <c r="D40" s="24" t="s">
        <v>368</v>
      </c>
      <c r="E40" s="24"/>
      <c r="F40" s="38"/>
      <c r="G40" s="38"/>
      <c r="H40" s="41"/>
      <c r="I40" s="41"/>
      <c r="J40" s="41"/>
      <c r="K40" s="47" t="str">
        <f t="shared" si="1"/>
        <v/>
      </c>
      <c r="L40" s="47" t="str">
        <f t="shared" si="2"/>
        <v/>
      </c>
      <c r="M40" s="41"/>
      <c r="N40" s="44" t="s">
        <v>177</v>
      </c>
      <c r="O40" s="44"/>
      <c r="P40" s="38"/>
    </row>
    <row r="41" ht="15.75" customHeight="1">
      <c r="A41" s="24" t="s">
        <v>369</v>
      </c>
      <c r="B41" s="28" t="str">
        <f>IF($A41="","",IFERROR(VLOOKUP($A41,'Resumo por docente'!$A$8:$B$57,2,FALSE),""))</f>
        <v>Inovação, Biotecnologia e Sustentabilidade Produtiva</v>
      </c>
      <c r="C41" s="31">
        <v>2026.0</v>
      </c>
      <c r="D41" s="24" t="s">
        <v>370</v>
      </c>
      <c r="E41" s="35" t="s">
        <v>371</v>
      </c>
      <c r="F41" s="38"/>
      <c r="G41" s="38"/>
      <c r="H41" s="41"/>
      <c r="I41" s="41"/>
      <c r="J41" s="41"/>
      <c r="K41" s="47" t="str">
        <f t="shared" si="1"/>
        <v/>
      </c>
      <c r="L41" s="47" t="str">
        <f t="shared" si="2"/>
        <v/>
      </c>
      <c r="M41" s="41"/>
      <c r="N41" s="44" t="s">
        <v>177</v>
      </c>
      <c r="O41" s="38"/>
      <c r="P41" s="38"/>
    </row>
    <row r="42" ht="15.75" customHeight="1">
      <c r="A42" s="24" t="s">
        <v>369</v>
      </c>
      <c r="B42" s="28" t="str">
        <f>IF($A42="","",IFERROR(VLOOKUP($A42,'Resumo por docente'!$A$8:$B$57,2,FALSE),""))</f>
        <v>Inovação, Biotecnologia e Sustentabilidade Produtiva</v>
      </c>
      <c r="C42" s="31">
        <v>2026.0</v>
      </c>
      <c r="D42" s="24" t="s">
        <v>372</v>
      </c>
      <c r="E42" s="35" t="s">
        <v>361</v>
      </c>
      <c r="F42" s="38"/>
      <c r="G42" s="38"/>
      <c r="H42" s="41"/>
      <c r="I42" s="41"/>
      <c r="J42" s="41"/>
      <c r="K42" s="47" t="str">
        <f t="shared" si="1"/>
        <v/>
      </c>
      <c r="L42" s="47" t="str">
        <f t="shared" si="2"/>
        <v/>
      </c>
      <c r="M42" s="41"/>
      <c r="N42" s="44" t="s">
        <v>177</v>
      </c>
      <c r="O42" s="38"/>
      <c r="P42" s="38"/>
    </row>
    <row r="43" ht="15.75" customHeight="1">
      <c r="A43" s="24" t="s">
        <v>369</v>
      </c>
      <c r="B43" s="28" t="str">
        <f>IF($A43="","",IFERROR(VLOOKUP($A43,'Resumo por docente'!$A$8:$B$57,2,FALSE),""))</f>
        <v>Inovação, Biotecnologia e Sustentabilidade Produtiva</v>
      </c>
      <c r="C43" s="31">
        <v>2025.0</v>
      </c>
      <c r="D43" s="24" t="s">
        <v>362</v>
      </c>
      <c r="E43" s="35" t="s">
        <v>363</v>
      </c>
      <c r="F43" s="38"/>
      <c r="G43" s="38"/>
      <c r="H43" s="41"/>
      <c r="I43" s="41"/>
      <c r="J43" s="41"/>
      <c r="K43" s="47" t="str">
        <f t="shared" si="1"/>
        <v/>
      </c>
      <c r="L43" s="47" t="str">
        <f t="shared" si="2"/>
        <v/>
      </c>
      <c r="M43" s="41"/>
      <c r="N43" s="44" t="s">
        <v>177</v>
      </c>
      <c r="O43" s="38"/>
      <c r="P43" s="38"/>
    </row>
    <row r="44" ht="15.75" customHeight="1">
      <c r="A44" s="24" t="s">
        <v>369</v>
      </c>
      <c r="B44" s="28" t="str">
        <f>IF($A44="","",IFERROR(VLOOKUP($A44,'Resumo por docente'!$A$8:$B$57,2,FALSE),""))</f>
        <v>Inovação, Biotecnologia e Sustentabilidade Produtiva</v>
      </c>
      <c r="C44" s="31">
        <v>2025.0</v>
      </c>
      <c r="D44" s="24" t="s">
        <v>364</v>
      </c>
      <c r="E44" s="35" t="s">
        <v>365</v>
      </c>
      <c r="F44" s="38"/>
      <c r="G44" s="38"/>
      <c r="H44" s="41"/>
      <c r="I44" s="41"/>
      <c r="J44" s="41"/>
      <c r="K44" s="47" t="str">
        <f t="shared" si="1"/>
        <v/>
      </c>
      <c r="L44" s="47" t="str">
        <f t="shared" si="2"/>
        <v/>
      </c>
      <c r="M44" s="41"/>
      <c r="N44" s="44" t="s">
        <v>177</v>
      </c>
      <c r="O44" s="38"/>
      <c r="P44" s="38"/>
    </row>
    <row r="45" ht="15.75" customHeight="1">
      <c r="A45" s="24" t="s">
        <v>369</v>
      </c>
      <c r="B45" s="28" t="str">
        <f>IF($A45="","",IFERROR(VLOOKUP($A45,'Resumo por docente'!$A$8:$B$57,2,FALSE),""))</f>
        <v>Inovação, Biotecnologia e Sustentabilidade Produtiva</v>
      </c>
      <c r="C45" s="31">
        <v>2023.0</v>
      </c>
      <c r="D45" s="24" t="s">
        <v>366</v>
      </c>
      <c r="E45" s="35" t="s">
        <v>367</v>
      </c>
      <c r="F45" s="38"/>
      <c r="G45" s="38"/>
      <c r="H45" s="41"/>
      <c r="I45" s="41"/>
      <c r="J45" s="41"/>
      <c r="K45" s="47" t="str">
        <f t="shared" si="1"/>
        <v/>
      </c>
      <c r="L45" s="47" t="str">
        <f t="shared" si="2"/>
        <v/>
      </c>
      <c r="M45" s="41"/>
      <c r="N45" s="44" t="s">
        <v>177</v>
      </c>
      <c r="O45" s="38"/>
      <c r="P45" s="38"/>
    </row>
    <row r="46" ht="15.75" customHeight="1">
      <c r="A46" s="24" t="s">
        <v>369</v>
      </c>
      <c r="B46" s="28" t="str">
        <f>IF($A46="","",IFERROR(VLOOKUP($A46,'Resumo por docente'!$A$8:$B$57,2,FALSE),""))</f>
        <v>Inovação, Biotecnologia e Sustentabilidade Produtiva</v>
      </c>
      <c r="C46" s="31">
        <v>2022.0</v>
      </c>
      <c r="D46" s="24" t="s">
        <v>368</v>
      </c>
      <c r="E46" s="52"/>
      <c r="F46" s="38"/>
      <c r="G46" s="38"/>
      <c r="H46" s="41"/>
      <c r="I46" s="41"/>
      <c r="J46" s="41"/>
      <c r="K46" s="47" t="str">
        <f t="shared" si="1"/>
        <v/>
      </c>
      <c r="L46" s="47" t="str">
        <f t="shared" si="2"/>
        <v/>
      </c>
      <c r="M46" s="41"/>
      <c r="N46" s="44" t="s">
        <v>177</v>
      </c>
      <c r="O46" s="38"/>
      <c r="P46" s="38"/>
    </row>
    <row r="47" ht="15.75" customHeight="1">
      <c r="A47" s="24" t="s">
        <v>373</v>
      </c>
      <c r="B47" s="28" t="str">
        <f>IF($A47="","",IFERROR(VLOOKUP($A47,'Resumo por docente'!$A$8:$B$57,2,FALSE),""))</f>
        <v/>
      </c>
      <c r="C47" s="31">
        <v>2023.0</v>
      </c>
      <c r="D47" s="24" t="s">
        <v>374</v>
      </c>
      <c r="E47" s="35" t="s">
        <v>375</v>
      </c>
      <c r="F47" s="38"/>
      <c r="G47" s="38"/>
      <c r="H47" s="41"/>
      <c r="I47" s="41"/>
      <c r="J47" s="41"/>
      <c r="K47" s="47" t="str">
        <f t="shared" si="1"/>
        <v/>
      </c>
      <c r="L47" s="47" t="str">
        <f t="shared" si="2"/>
        <v/>
      </c>
      <c r="M47" s="41"/>
      <c r="N47" s="44" t="s">
        <v>177</v>
      </c>
      <c r="O47" s="38"/>
      <c r="P47" s="38"/>
    </row>
    <row r="48" ht="15.75" customHeight="1">
      <c r="A48" s="24" t="s">
        <v>373</v>
      </c>
      <c r="B48" s="28" t="str">
        <f>IF($A48="","",IFERROR(VLOOKUP($A48,'Resumo por docente'!$A$8:$B$57,2,FALSE),""))</f>
        <v/>
      </c>
      <c r="C48" s="31">
        <v>2023.0</v>
      </c>
      <c r="D48" s="24" t="s">
        <v>376</v>
      </c>
      <c r="E48" s="35" t="s">
        <v>377</v>
      </c>
      <c r="F48" s="38"/>
      <c r="G48" s="38"/>
      <c r="H48" s="41"/>
      <c r="I48" s="41"/>
      <c r="J48" s="41"/>
      <c r="K48" s="47" t="str">
        <f t="shared" si="1"/>
        <v/>
      </c>
      <c r="L48" s="47" t="str">
        <f t="shared" si="2"/>
        <v/>
      </c>
      <c r="M48" s="41"/>
      <c r="N48" s="44" t="s">
        <v>177</v>
      </c>
      <c r="O48" s="38"/>
      <c r="P48" s="38"/>
    </row>
    <row r="49" ht="15.75" customHeight="1">
      <c r="A49" s="24" t="s">
        <v>373</v>
      </c>
      <c r="B49" s="28" t="str">
        <f>IF($A49="","",IFERROR(VLOOKUP($A49,'Resumo por docente'!$A$8:$B$57,2,FALSE),""))</f>
        <v/>
      </c>
      <c r="C49" s="31">
        <v>2022.0</v>
      </c>
      <c r="D49" s="24" t="s">
        <v>378</v>
      </c>
      <c r="E49" s="35" t="s">
        <v>379</v>
      </c>
      <c r="F49" s="38"/>
      <c r="G49" s="38"/>
      <c r="H49" s="41"/>
      <c r="I49" s="41"/>
      <c r="J49" s="41"/>
      <c r="K49" s="47" t="str">
        <f t="shared" si="1"/>
        <v/>
      </c>
      <c r="L49" s="47" t="str">
        <f t="shared" si="2"/>
        <v/>
      </c>
      <c r="M49" s="41"/>
      <c r="N49" s="44" t="s">
        <v>177</v>
      </c>
      <c r="O49" s="38"/>
      <c r="P49" s="38"/>
    </row>
    <row r="50" ht="15.75" customHeight="1">
      <c r="A50" s="24" t="s">
        <v>373</v>
      </c>
      <c r="B50" s="28" t="str">
        <f>IF($A50="","",IFERROR(VLOOKUP($A50,'Resumo por docente'!$A$8:$B$57,2,FALSE),""))</f>
        <v/>
      </c>
      <c r="C50" s="31">
        <v>2022.0</v>
      </c>
      <c r="D50" s="24" t="s">
        <v>380</v>
      </c>
      <c r="E50" s="35" t="s">
        <v>381</v>
      </c>
      <c r="F50" s="38"/>
      <c r="G50" s="38"/>
      <c r="H50" s="41"/>
      <c r="I50" s="41"/>
      <c r="J50" s="41"/>
      <c r="K50" s="47" t="str">
        <f t="shared" si="1"/>
        <v/>
      </c>
      <c r="L50" s="47" t="str">
        <f t="shared" si="2"/>
        <v/>
      </c>
      <c r="M50" s="41"/>
      <c r="N50" s="44" t="s">
        <v>177</v>
      </c>
      <c r="O50" s="38"/>
      <c r="P50" s="38"/>
    </row>
    <row r="51" ht="15.75" customHeight="1">
      <c r="A51" s="24" t="s">
        <v>373</v>
      </c>
      <c r="B51" s="28" t="str">
        <f>IF($A51="","",IFERROR(VLOOKUP($A51,'Resumo por docente'!$A$8:$B$57,2,FALSE),""))</f>
        <v/>
      </c>
      <c r="C51" s="31">
        <v>2022.0</v>
      </c>
      <c r="D51" s="24" t="s">
        <v>382</v>
      </c>
      <c r="E51" s="35" t="s">
        <v>383</v>
      </c>
      <c r="F51" s="38"/>
      <c r="G51" s="38"/>
      <c r="H51" s="41"/>
      <c r="I51" s="41"/>
      <c r="J51" s="41"/>
      <c r="K51" s="47" t="str">
        <f t="shared" si="1"/>
        <v/>
      </c>
      <c r="L51" s="47" t="str">
        <f t="shared" si="2"/>
        <v/>
      </c>
      <c r="M51" s="41"/>
      <c r="N51" s="44" t="s">
        <v>177</v>
      </c>
      <c r="O51" s="38"/>
      <c r="P51" s="38"/>
    </row>
    <row r="52" ht="15.75" customHeight="1">
      <c r="A52" s="24" t="s">
        <v>373</v>
      </c>
      <c r="B52" s="28" t="str">
        <f>IF($A52="","",IFERROR(VLOOKUP($A52,'Resumo por docente'!$A$8:$B$57,2,FALSE),""))</f>
        <v/>
      </c>
      <c r="C52" s="31">
        <v>2022.0</v>
      </c>
      <c r="D52" s="24" t="s">
        <v>384</v>
      </c>
      <c r="E52" s="35" t="s">
        <v>385</v>
      </c>
      <c r="F52" s="38"/>
      <c r="G52" s="38"/>
      <c r="H52" s="41"/>
      <c r="I52" s="41"/>
      <c r="J52" s="41"/>
      <c r="K52" s="47" t="str">
        <f t="shared" si="1"/>
        <v/>
      </c>
      <c r="L52" s="47" t="str">
        <f t="shared" si="2"/>
        <v/>
      </c>
      <c r="M52" s="41"/>
      <c r="N52" s="44" t="s">
        <v>177</v>
      </c>
      <c r="O52" s="38"/>
      <c r="P52" s="38"/>
    </row>
    <row r="53" ht="15.75" customHeight="1">
      <c r="A53" s="24" t="s">
        <v>247</v>
      </c>
      <c r="B53" s="28" t="str">
        <f>IF($A53="","",IFERROR(VLOOKUP($A53,'Resumo por docente'!$A$8:$B$57,2,FALSE),""))</f>
        <v>Inovação, Biotecnologia e Sustentabilidade Produtiva</v>
      </c>
      <c r="C53" s="31">
        <v>2025.0</v>
      </c>
      <c r="D53" s="24" t="s">
        <v>386</v>
      </c>
      <c r="E53" s="35" t="s">
        <v>387</v>
      </c>
      <c r="F53" s="38"/>
      <c r="G53" s="38"/>
      <c r="H53" s="41"/>
      <c r="I53" s="41"/>
      <c r="J53" s="41"/>
      <c r="K53" s="47" t="str">
        <f t="shared" si="1"/>
        <v/>
      </c>
      <c r="L53" s="47" t="str">
        <f t="shared" si="2"/>
        <v/>
      </c>
      <c r="M53" s="41"/>
      <c r="N53" s="44" t="s">
        <v>177</v>
      </c>
      <c r="O53" s="38"/>
      <c r="P53" s="38"/>
    </row>
    <row r="54" ht="15.75" customHeight="1">
      <c r="A54" s="24" t="s">
        <v>247</v>
      </c>
      <c r="B54" s="28" t="str">
        <f>IF($A54="","",IFERROR(VLOOKUP($A54,'Resumo por docente'!$A$8:$B$57,2,FALSE),""))</f>
        <v>Inovação, Biotecnologia e Sustentabilidade Produtiva</v>
      </c>
      <c r="C54" s="31">
        <v>2024.0</v>
      </c>
      <c r="D54" s="24" t="s">
        <v>388</v>
      </c>
      <c r="E54" s="35" t="s">
        <v>389</v>
      </c>
      <c r="F54" s="38"/>
      <c r="G54" s="38"/>
      <c r="H54" s="41"/>
      <c r="I54" s="41"/>
      <c r="J54" s="41"/>
      <c r="K54" s="47" t="str">
        <f t="shared" si="1"/>
        <v/>
      </c>
      <c r="L54" s="47" t="str">
        <f t="shared" si="2"/>
        <v/>
      </c>
      <c r="M54" s="41"/>
      <c r="N54" s="44" t="s">
        <v>177</v>
      </c>
      <c r="O54" s="38"/>
      <c r="P54" s="38"/>
    </row>
    <row r="55" ht="15.75" customHeight="1">
      <c r="A55" s="24" t="s">
        <v>247</v>
      </c>
      <c r="B55" s="28" t="str">
        <f>IF($A55="","",IFERROR(VLOOKUP($A55,'Resumo por docente'!$A$8:$B$57,2,FALSE),""))</f>
        <v>Inovação, Biotecnologia e Sustentabilidade Produtiva</v>
      </c>
      <c r="C55" s="31">
        <v>2024.0</v>
      </c>
      <c r="D55" s="24" t="s">
        <v>390</v>
      </c>
      <c r="E55" s="35" t="s">
        <v>391</v>
      </c>
      <c r="F55" s="38"/>
      <c r="G55" s="38"/>
      <c r="H55" s="41"/>
      <c r="I55" s="41"/>
      <c r="J55" s="41"/>
      <c r="K55" s="47" t="str">
        <f t="shared" si="1"/>
        <v/>
      </c>
      <c r="L55" s="47" t="str">
        <f t="shared" si="2"/>
        <v/>
      </c>
      <c r="M55" s="41"/>
      <c r="N55" s="44" t="s">
        <v>177</v>
      </c>
      <c r="O55" s="38"/>
      <c r="P55" s="38"/>
    </row>
    <row r="56" ht="15.75" customHeight="1">
      <c r="A56" s="24" t="s">
        <v>247</v>
      </c>
      <c r="B56" s="28" t="str">
        <f>IF($A56="","",IFERROR(VLOOKUP($A56,'Resumo por docente'!$A$8:$B$57,2,FALSE),""))</f>
        <v>Inovação, Biotecnologia e Sustentabilidade Produtiva</v>
      </c>
      <c r="C56" s="31">
        <v>2024.0</v>
      </c>
      <c r="D56" s="24" t="s">
        <v>392</v>
      </c>
      <c r="E56" s="35" t="s">
        <v>393</v>
      </c>
      <c r="F56" s="38"/>
      <c r="G56" s="38"/>
      <c r="H56" s="41"/>
      <c r="I56" s="41"/>
      <c r="J56" s="41"/>
      <c r="K56" s="47" t="str">
        <f t="shared" si="1"/>
        <v/>
      </c>
      <c r="L56" s="47" t="str">
        <f t="shared" si="2"/>
        <v/>
      </c>
      <c r="M56" s="41"/>
      <c r="N56" s="44" t="s">
        <v>177</v>
      </c>
      <c r="O56" s="38"/>
      <c r="P56" s="38"/>
    </row>
    <row r="57" ht="15.75" customHeight="1">
      <c r="A57" s="24" t="s">
        <v>247</v>
      </c>
      <c r="B57" s="28" t="str">
        <f>IF($A57="","",IFERROR(VLOOKUP($A57,'Resumo por docente'!$A$8:$B$57,2,FALSE),""))</f>
        <v>Inovação, Biotecnologia e Sustentabilidade Produtiva</v>
      </c>
      <c r="C57" s="31">
        <v>2022.0</v>
      </c>
      <c r="D57" s="24" t="s">
        <v>394</v>
      </c>
      <c r="E57" s="35" t="s">
        <v>395</v>
      </c>
      <c r="F57" s="38"/>
      <c r="G57" s="38"/>
      <c r="H57" s="41"/>
      <c r="I57" s="41"/>
      <c r="J57" s="41"/>
      <c r="K57" s="47" t="str">
        <f t="shared" si="1"/>
        <v/>
      </c>
      <c r="L57" s="47" t="str">
        <f t="shared" si="2"/>
        <v/>
      </c>
      <c r="M57" s="41"/>
      <c r="N57" s="44" t="s">
        <v>177</v>
      </c>
      <c r="O57" s="38"/>
      <c r="P57" s="38"/>
    </row>
    <row r="58" ht="15.75" customHeight="1">
      <c r="A58" s="24" t="s">
        <v>247</v>
      </c>
      <c r="B58" s="28" t="str">
        <f>IF($A58="","",IFERROR(VLOOKUP($A58,'Resumo por docente'!$A$8:$B$57,2,FALSE),""))</f>
        <v>Inovação, Biotecnologia e Sustentabilidade Produtiva</v>
      </c>
      <c r="C58" s="31">
        <v>2022.0</v>
      </c>
      <c r="D58" s="24" t="s">
        <v>396</v>
      </c>
      <c r="E58" s="35" t="s">
        <v>397</v>
      </c>
      <c r="F58" s="38"/>
      <c r="G58" s="38"/>
      <c r="H58" s="41"/>
      <c r="I58" s="41"/>
      <c r="J58" s="41"/>
      <c r="K58" s="47" t="str">
        <f t="shared" si="1"/>
        <v/>
      </c>
      <c r="L58" s="47" t="str">
        <f t="shared" si="2"/>
        <v/>
      </c>
      <c r="M58" s="41"/>
      <c r="N58" s="44" t="s">
        <v>177</v>
      </c>
      <c r="O58" s="38"/>
      <c r="P58" s="38"/>
    </row>
    <row r="59" ht="15.75" customHeight="1">
      <c r="A59" s="24" t="s">
        <v>247</v>
      </c>
      <c r="B59" s="28" t="str">
        <f>IF($A59="","",IFERROR(VLOOKUP($A59,'Resumo por docente'!$A$8:$B$57,2,FALSE),""))</f>
        <v>Inovação, Biotecnologia e Sustentabilidade Produtiva</v>
      </c>
      <c r="C59" s="31">
        <v>2021.0</v>
      </c>
      <c r="D59" s="24" t="s">
        <v>398</v>
      </c>
      <c r="E59" s="58" t="s">
        <v>399</v>
      </c>
      <c r="F59" s="44" t="s">
        <v>400</v>
      </c>
      <c r="G59" s="44" t="s">
        <v>401</v>
      </c>
      <c r="H59" s="41"/>
      <c r="I59" s="41"/>
      <c r="J59" s="41"/>
      <c r="K59" s="47" t="str">
        <f t="shared" si="1"/>
        <v/>
      </c>
      <c r="L59" s="47" t="str">
        <f t="shared" si="2"/>
        <v/>
      </c>
      <c r="M59" s="41"/>
      <c r="N59" s="38"/>
      <c r="O59" s="38"/>
      <c r="P59" s="38"/>
    </row>
    <row r="60" ht="15.75" customHeight="1">
      <c r="A60" s="24" t="s">
        <v>247</v>
      </c>
      <c r="B60" s="28" t="str">
        <f>IF($A60="","",IFERROR(VLOOKUP($A60,'Resumo por docente'!$A$8:$B$57,2,FALSE),""))</f>
        <v>Inovação, Biotecnologia e Sustentabilidade Produtiva</v>
      </c>
      <c r="C60" s="31">
        <v>2021.0</v>
      </c>
      <c r="D60" s="24" t="s">
        <v>402</v>
      </c>
      <c r="E60" s="58" t="s">
        <v>403</v>
      </c>
      <c r="F60" s="38"/>
      <c r="G60" s="38"/>
      <c r="H60" s="41"/>
      <c r="I60" s="41"/>
      <c r="J60" s="41"/>
      <c r="K60" s="47" t="str">
        <f t="shared" si="1"/>
        <v/>
      </c>
      <c r="L60" s="47" t="str">
        <f t="shared" si="2"/>
        <v/>
      </c>
      <c r="M60" s="41"/>
      <c r="N60" s="38"/>
      <c r="O60" s="38"/>
      <c r="P60" s="38"/>
    </row>
    <row r="61" ht="15.75" customHeight="1">
      <c r="A61" s="24" t="s">
        <v>404</v>
      </c>
      <c r="B61" s="28" t="str">
        <f>IF($A61="","",IFERROR(VLOOKUP($A61,'Resumo por docente'!$A$8:$B$57,2,FALSE),""))</f>
        <v>Biodiversidade, Saúde Ambiental e Conservação</v>
      </c>
      <c r="C61" s="31">
        <v>2026.0</v>
      </c>
      <c r="D61" s="24" t="s">
        <v>405</v>
      </c>
      <c r="E61" s="52"/>
      <c r="F61" s="38"/>
      <c r="G61" s="38"/>
      <c r="H61" s="41"/>
      <c r="I61" s="41"/>
      <c r="J61" s="41"/>
      <c r="K61" s="47" t="str">
        <f t="shared" si="1"/>
        <v/>
      </c>
      <c r="L61" s="47" t="str">
        <f t="shared" si="2"/>
        <v/>
      </c>
      <c r="M61" s="41"/>
      <c r="N61" s="44" t="s">
        <v>177</v>
      </c>
      <c r="O61" s="38"/>
      <c r="P61" s="38"/>
    </row>
    <row r="62" ht="15.75" customHeight="1">
      <c r="A62" s="24" t="s">
        <v>404</v>
      </c>
      <c r="B62" s="28" t="str">
        <f>IF($A62="","",IFERROR(VLOOKUP($A62,'Resumo por docente'!$A$8:$B$57,2,FALSE),""))</f>
        <v>Biodiversidade, Saúde Ambiental e Conservação</v>
      </c>
      <c r="C62" s="31">
        <v>2022.0</v>
      </c>
      <c r="D62" s="24" t="s">
        <v>406</v>
      </c>
      <c r="E62" s="35" t="s">
        <v>407</v>
      </c>
      <c r="F62" s="38"/>
      <c r="G62" s="38"/>
      <c r="H62" s="41"/>
      <c r="I62" s="41"/>
      <c r="J62" s="41"/>
      <c r="K62" s="47" t="str">
        <f t="shared" si="1"/>
        <v/>
      </c>
      <c r="L62" s="47" t="str">
        <f t="shared" si="2"/>
        <v/>
      </c>
      <c r="M62" s="41"/>
      <c r="N62" s="44" t="s">
        <v>177</v>
      </c>
      <c r="O62" s="38"/>
      <c r="P62" s="38"/>
    </row>
    <row r="63" ht="15.75" customHeight="1">
      <c r="A63" s="24" t="s">
        <v>404</v>
      </c>
      <c r="B63" s="28" t="str">
        <f>IF($A63="","",IFERROR(VLOOKUP($A63,'Resumo por docente'!$A$8:$B$57,2,FALSE),""))</f>
        <v>Biodiversidade, Saúde Ambiental e Conservação</v>
      </c>
      <c r="C63" s="31">
        <v>2022.0</v>
      </c>
      <c r="D63" s="24" t="s">
        <v>408</v>
      </c>
      <c r="E63" s="35" t="s">
        <v>409</v>
      </c>
      <c r="F63" s="38"/>
      <c r="G63" s="38"/>
      <c r="H63" s="41"/>
      <c r="I63" s="41"/>
      <c r="J63" s="41"/>
      <c r="K63" s="47" t="str">
        <f t="shared" si="1"/>
        <v/>
      </c>
      <c r="L63" s="47" t="str">
        <f t="shared" si="2"/>
        <v/>
      </c>
      <c r="M63" s="41"/>
      <c r="N63" s="44" t="s">
        <v>177</v>
      </c>
      <c r="O63" s="38"/>
      <c r="P63" s="38"/>
    </row>
    <row r="64" ht="15.75" customHeight="1">
      <c r="A64" s="24" t="s">
        <v>404</v>
      </c>
      <c r="B64" s="28" t="str">
        <f>IF($A64="","",IFERROR(VLOOKUP($A64,'Resumo por docente'!$A$8:$B$57,2,FALSE),""))</f>
        <v>Biodiversidade, Saúde Ambiental e Conservação</v>
      </c>
      <c r="C64" s="31">
        <v>2022.0</v>
      </c>
      <c r="D64" s="24" t="s">
        <v>296</v>
      </c>
      <c r="E64" s="35" t="s">
        <v>297</v>
      </c>
      <c r="F64" s="38"/>
      <c r="G64" s="38"/>
      <c r="H64" s="41"/>
      <c r="I64" s="41"/>
      <c r="J64" s="41"/>
      <c r="K64" s="47" t="str">
        <f t="shared" si="1"/>
        <v/>
      </c>
      <c r="L64" s="47" t="str">
        <f t="shared" si="2"/>
        <v/>
      </c>
      <c r="M64" s="41"/>
      <c r="N64" s="44" t="s">
        <v>177</v>
      </c>
      <c r="O64" s="38"/>
      <c r="P64" s="38"/>
    </row>
    <row r="65" ht="15.75" customHeight="1">
      <c r="A65" s="24" t="s">
        <v>271</v>
      </c>
      <c r="B65" s="28" t="str">
        <f>IF($A65="","",IFERROR(VLOOKUP($A65,'Resumo por docente'!$A$8:$B$57,2,FALSE),""))</f>
        <v>Biodiversidade, Saúde Ambiental e Conservação</v>
      </c>
      <c r="C65" s="31">
        <v>2025.0</v>
      </c>
      <c r="D65" s="24" t="s">
        <v>410</v>
      </c>
      <c r="E65" s="35" t="s">
        <v>411</v>
      </c>
      <c r="F65" s="38"/>
      <c r="G65" s="38"/>
      <c r="H65" s="41"/>
      <c r="I65" s="41"/>
      <c r="J65" s="41"/>
      <c r="K65" s="47" t="str">
        <f t="shared" si="1"/>
        <v/>
      </c>
      <c r="L65" s="47" t="str">
        <f t="shared" si="2"/>
        <v/>
      </c>
      <c r="M65" s="41"/>
      <c r="N65" s="44" t="s">
        <v>177</v>
      </c>
      <c r="O65" s="38"/>
      <c r="P65" s="38"/>
    </row>
    <row r="66" ht="15.75" customHeight="1">
      <c r="A66" s="24" t="s">
        <v>271</v>
      </c>
      <c r="B66" s="28" t="str">
        <f>IF($A66="","",IFERROR(VLOOKUP($A66,'Resumo por docente'!$A$8:$B$57,2,FALSE),""))</f>
        <v>Biodiversidade, Saúde Ambiental e Conservação</v>
      </c>
      <c r="C66" s="31">
        <v>2023.0</v>
      </c>
      <c r="D66" s="24" t="s">
        <v>412</v>
      </c>
      <c r="E66" s="35" t="s">
        <v>413</v>
      </c>
      <c r="F66" s="38"/>
      <c r="G66" s="38"/>
      <c r="H66" s="41"/>
      <c r="I66" s="41"/>
      <c r="J66" s="41"/>
      <c r="K66" s="47" t="str">
        <f t="shared" si="1"/>
        <v/>
      </c>
      <c r="L66" s="47" t="str">
        <f t="shared" si="2"/>
        <v/>
      </c>
      <c r="M66" s="41"/>
      <c r="N66" s="44" t="s">
        <v>177</v>
      </c>
      <c r="O66" s="38"/>
      <c r="P66" s="38"/>
    </row>
    <row r="67" ht="15.75" customHeight="1">
      <c r="A67" s="24" t="s">
        <v>271</v>
      </c>
      <c r="B67" s="28" t="str">
        <f>IF($A67="","",IFERROR(VLOOKUP($A67,'Resumo por docente'!$A$8:$B$57,2,FALSE),""))</f>
        <v>Biodiversidade, Saúde Ambiental e Conservação</v>
      </c>
      <c r="C67" s="31">
        <v>2022.0</v>
      </c>
      <c r="D67" s="24" t="s">
        <v>414</v>
      </c>
      <c r="E67" s="35" t="s">
        <v>415</v>
      </c>
      <c r="F67" s="38"/>
      <c r="G67" s="38"/>
      <c r="H67" s="41"/>
      <c r="I67" s="41"/>
      <c r="J67" s="41"/>
      <c r="K67" s="47" t="str">
        <f t="shared" si="1"/>
        <v/>
      </c>
      <c r="L67" s="47" t="str">
        <f t="shared" si="2"/>
        <v/>
      </c>
      <c r="M67" s="41"/>
      <c r="N67" s="44" t="s">
        <v>177</v>
      </c>
      <c r="O67" s="38"/>
      <c r="P67" s="38"/>
    </row>
    <row r="68" ht="15.75" customHeight="1">
      <c r="A68" s="24" t="s">
        <v>271</v>
      </c>
      <c r="B68" s="28" t="str">
        <f>IF($A68="","",IFERROR(VLOOKUP($A68,'Resumo por docente'!$A$8:$B$57,2,FALSE),""))</f>
        <v>Biodiversidade, Saúde Ambiental e Conservação</v>
      </c>
      <c r="C68" s="31">
        <v>2022.0</v>
      </c>
      <c r="D68" s="24" t="s">
        <v>416</v>
      </c>
      <c r="E68" s="35" t="s">
        <v>417</v>
      </c>
      <c r="F68" s="38"/>
      <c r="G68" s="38"/>
      <c r="H68" s="41"/>
      <c r="I68" s="41"/>
      <c r="J68" s="41"/>
      <c r="K68" s="47" t="str">
        <f t="shared" si="1"/>
        <v/>
      </c>
      <c r="L68" s="47" t="str">
        <f t="shared" si="2"/>
        <v/>
      </c>
      <c r="M68" s="41"/>
      <c r="N68" s="44" t="s">
        <v>177</v>
      </c>
      <c r="O68" s="38"/>
      <c r="P68" s="38"/>
    </row>
    <row r="69" ht="15.75" customHeight="1">
      <c r="A69" s="24" t="s">
        <v>271</v>
      </c>
      <c r="B69" s="28" t="str">
        <f>IF($A69="","",IFERROR(VLOOKUP($A69,'Resumo por docente'!$A$8:$B$57,2,FALSE),""))</f>
        <v>Biodiversidade, Saúde Ambiental e Conservação</v>
      </c>
      <c r="C69" s="31">
        <v>2022.0</v>
      </c>
      <c r="D69" s="24" t="s">
        <v>418</v>
      </c>
      <c r="E69" s="35" t="s">
        <v>419</v>
      </c>
      <c r="F69" s="38"/>
      <c r="G69" s="38"/>
      <c r="H69" s="41"/>
      <c r="I69" s="41"/>
      <c r="J69" s="41"/>
      <c r="K69" s="47" t="str">
        <f t="shared" si="1"/>
        <v/>
      </c>
      <c r="L69" s="47" t="str">
        <f t="shared" si="2"/>
        <v/>
      </c>
      <c r="M69" s="41"/>
      <c r="N69" s="44" t="s">
        <v>177</v>
      </c>
      <c r="O69" s="38"/>
      <c r="P69" s="38"/>
    </row>
    <row r="70" ht="15.75" customHeight="1">
      <c r="A70" s="24" t="s">
        <v>271</v>
      </c>
      <c r="B70" s="28" t="str">
        <f>IF($A70="","",IFERROR(VLOOKUP($A70,'Resumo por docente'!$A$8:$B$57,2,FALSE),""))</f>
        <v>Biodiversidade, Saúde Ambiental e Conservação</v>
      </c>
      <c r="C70" s="31">
        <v>2021.0</v>
      </c>
      <c r="D70" s="24" t="s">
        <v>420</v>
      </c>
      <c r="E70" s="55" t="s">
        <v>421</v>
      </c>
      <c r="F70" s="38"/>
      <c r="G70" s="38"/>
      <c r="H70" s="41"/>
      <c r="I70" s="41"/>
      <c r="J70" s="41"/>
      <c r="K70" s="47"/>
      <c r="L70" s="47"/>
      <c r="M70" s="41"/>
      <c r="N70" s="44"/>
      <c r="O70" s="38"/>
      <c r="P70" s="38"/>
    </row>
    <row r="71" ht="15.75" customHeight="1">
      <c r="A71" s="24" t="s">
        <v>284</v>
      </c>
      <c r="B71" s="28" t="str">
        <f>IF($A71="","",IFERROR(VLOOKUP($A71,'Resumo por docente'!$A$8:$B$57,2,FALSE),""))</f>
        <v>Biodiversidade, Saúde Ambiental e Conservação</v>
      </c>
      <c r="C71" s="31">
        <v>2025.0</v>
      </c>
      <c r="D71" s="24" t="s">
        <v>410</v>
      </c>
      <c r="E71" s="35" t="s">
        <v>411</v>
      </c>
      <c r="F71" s="38"/>
      <c r="G71" s="38"/>
      <c r="H71" s="41"/>
      <c r="I71" s="41"/>
      <c r="J71" s="41"/>
      <c r="K71" s="47" t="str">
        <f t="shared" ref="K71:K75" si="3">IF($A71="","",IF(OR($G71="WoS",$G71="Scopus"),IF($H71="","",IF($H71&gt;=87.5,1,IF($H71&gt;=75,0.875,IF($H71&gt;=62.5,0.75,IF($H71&gt;=50,0.625,IF($H71&gt;=37.5,0.5,IF($H71&gt;=25,0.375,IF($H71&gt;=12.5,0.25,IF($H71&gt;=0.01,0.125,0))))))))),IF($G71="Dimensions",IF(OR($I71="",$J71=""),"",MIN(IF($I71&gt;=87.5,1,IF($I71&gt;=75,0.875,IF($I71&gt;=62.5,0.75,IF($I71&gt;=50,0.625,IF($I71&gt;=37.5,0.5,IF($I71&gt;=25,0.375,IF($I71&gt;=12.5,0.25,IF($I71&gt;=0.01,0.125,0)))))))),IF($J71&gt;=2,1,IF($J71&gt;=1.5,0.875,IF($J71&gt;=1,0.75,IF($J71&gt;=0.75,0.625,IF($J71&gt;=0.5,0.5,IF($J71&gt;=0.25,0.375,IF($J71&gt;=0.125,0.25,IF($J71&gt;=0.01,0.125,0)))))))))),"")))</f>
        <v/>
      </c>
      <c r="L71" s="47" t="str">
        <f t="shared" ref="L71:L75" si="4">IF($A71="","",IF(AND($C71&gt;=2021,$C71&lt;=2026,$E71&lt;&gt;"",$K71&gt;0,LOWER($N71)="sim",LOWER($O71)="sim",OR(AND($F71="Exterior",OR($G71="WoS",$G71="Scopus")),AND($F71="Brasil",OR(AND(OR($G71="WoS",$G71="Scopus"),$H71&gt;=50),$G71="Dimensions")))),$K71,""))</f>
        <v/>
      </c>
      <c r="M71" s="41"/>
      <c r="N71" s="44" t="s">
        <v>177</v>
      </c>
      <c r="O71" s="38"/>
      <c r="P71" s="38"/>
    </row>
    <row r="72" ht="15.75" customHeight="1">
      <c r="A72" s="24" t="s">
        <v>284</v>
      </c>
      <c r="B72" s="28" t="str">
        <f>IF($A72="","",IFERROR(VLOOKUP($A72,'Resumo por docente'!$A$8:$B$57,2,FALSE),""))</f>
        <v>Biodiversidade, Saúde Ambiental e Conservação</v>
      </c>
      <c r="C72" s="31">
        <v>2024.0</v>
      </c>
      <c r="D72" s="24" t="s">
        <v>422</v>
      </c>
      <c r="E72" s="35" t="s">
        <v>423</v>
      </c>
      <c r="F72" s="38"/>
      <c r="G72" s="38"/>
      <c r="H72" s="41"/>
      <c r="I72" s="41"/>
      <c r="J72" s="41"/>
      <c r="K72" s="47" t="str">
        <f t="shared" si="3"/>
        <v/>
      </c>
      <c r="L72" s="47" t="str">
        <f t="shared" si="4"/>
        <v/>
      </c>
      <c r="M72" s="41"/>
      <c r="N72" s="44" t="s">
        <v>177</v>
      </c>
      <c r="O72" s="38"/>
      <c r="P72" s="38"/>
    </row>
    <row r="73" ht="15.75" customHeight="1">
      <c r="A73" s="24" t="s">
        <v>284</v>
      </c>
      <c r="B73" s="28" t="str">
        <f>IF($A73="","",IFERROR(VLOOKUP($A73,'Resumo por docente'!$A$8:$B$57,2,FALSE),""))</f>
        <v>Biodiversidade, Saúde Ambiental e Conservação</v>
      </c>
      <c r="C73" s="31">
        <v>2023.0</v>
      </c>
      <c r="D73" s="24" t="s">
        <v>412</v>
      </c>
      <c r="E73" s="55" t="s">
        <v>413</v>
      </c>
      <c r="F73" s="38"/>
      <c r="G73" s="38"/>
      <c r="H73" s="41"/>
      <c r="I73" s="41"/>
      <c r="J73" s="41"/>
      <c r="K73" s="47" t="str">
        <f t="shared" si="3"/>
        <v/>
      </c>
      <c r="L73" s="47" t="str">
        <f t="shared" si="4"/>
        <v/>
      </c>
      <c r="M73" s="41"/>
      <c r="N73" s="44" t="s">
        <v>177</v>
      </c>
      <c r="O73" s="38"/>
      <c r="P73" s="38"/>
    </row>
    <row r="74" ht="15.75" customHeight="1">
      <c r="A74" s="24" t="s">
        <v>284</v>
      </c>
      <c r="B74" s="28" t="str">
        <f>IF($A74="","",IFERROR(VLOOKUP($A74,'Resumo por docente'!$A$8:$B$57,2,FALSE),""))</f>
        <v>Biodiversidade, Saúde Ambiental e Conservação</v>
      </c>
      <c r="C74" s="31">
        <v>2022.0</v>
      </c>
      <c r="D74" s="24" t="s">
        <v>414</v>
      </c>
      <c r="E74" s="35" t="s">
        <v>415</v>
      </c>
      <c r="F74" s="38"/>
      <c r="G74" s="38"/>
      <c r="H74" s="41"/>
      <c r="I74" s="41"/>
      <c r="J74" s="41"/>
      <c r="K74" s="47" t="str">
        <f t="shared" si="3"/>
        <v/>
      </c>
      <c r="L74" s="47" t="str">
        <f t="shared" si="4"/>
        <v/>
      </c>
      <c r="M74" s="41"/>
      <c r="N74" s="44" t="s">
        <v>177</v>
      </c>
      <c r="O74" s="38"/>
      <c r="P74" s="38"/>
    </row>
    <row r="75" ht="15.75" customHeight="1">
      <c r="A75" s="24" t="s">
        <v>284</v>
      </c>
      <c r="B75" s="28" t="str">
        <f>IF($A75="","",IFERROR(VLOOKUP($A75,'Resumo por docente'!$A$8:$B$57,2,FALSE),""))</f>
        <v>Biodiversidade, Saúde Ambiental e Conservação</v>
      </c>
      <c r="C75" s="31">
        <v>2022.0</v>
      </c>
      <c r="D75" s="24" t="s">
        <v>418</v>
      </c>
      <c r="E75" s="35" t="s">
        <v>419</v>
      </c>
      <c r="F75" s="38"/>
      <c r="G75" s="38"/>
      <c r="H75" s="41"/>
      <c r="I75" s="41"/>
      <c r="J75" s="41"/>
      <c r="K75" s="47" t="str">
        <f t="shared" si="3"/>
        <v/>
      </c>
      <c r="L75" s="47" t="str">
        <f t="shared" si="4"/>
        <v/>
      </c>
      <c r="M75" s="41"/>
      <c r="N75" s="44" t="s">
        <v>177</v>
      </c>
      <c r="O75" s="38"/>
      <c r="P75" s="38"/>
    </row>
    <row r="76" ht="15.75" customHeight="1">
      <c r="A76" s="24" t="s">
        <v>284</v>
      </c>
      <c r="B76" s="28" t="str">
        <f>IF($A76="","",IFERROR(VLOOKUP($A76,'Resumo por docente'!$A$8:$B$57,2,FALSE),""))</f>
        <v>Biodiversidade, Saúde Ambiental e Conservação</v>
      </c>
      <c r="C76" s="31">
        <v>2021.0</v>
      </c>
      <c r="D76" s="24" t="s">
        <v>420</v>
      </c>
      <c r="E76" s="55" t="s">
        <v>421</v>
      </c>
      <c r="F76" s="38"/>
      <c r="G76" s="38"/>
      <c r="H76" s="41"/>
      <c r="I76" s="41"/>
      <c r="J76" s="41"/>
      <c r="K76" s="47"/>
      <c r="L76" s="47"/>
      <c r="M76" s="41"/>
      <c r="N76" s="44"/>
      <c r="O76" s="38"/>
      <c r="P76" s="38"/>
    </row>
    <row r="77" ht="15.75" customHeight="1">
      <c r="A77" s="24" t="s">
        <v>313</v>
      </c>
      <c r="B77" s="28" t="str">
        <f>IF($A77="","",IFERROR(VLOOKUP($A77,'Resumo por docente'!$A$8:$B$57,2,FALSE),""))</f>
        <v>Inovação, Biotecnologia e Sustentabilidade Produtiva</v>
      </c>
      <c r="C77" s="31">
        <v>2026.0</v>
      </c>
      <c r="D77" s="24" t="s">
        <v>424</v>
      </c>
      <c r="E77" s="35" t="s">
        <v>425</v>
      </c>
      <c r="F77" s="38" t="s">
        <v>400</v>
      </c>
      <c r="G77" s="38" t="s">
        <v>401</v>
      </c>
      <c r="H77" s="59">
        <v>0.0</v>
      </c>
      <c r="I77" s="41"/>
      <c r="J77" s="59">
        <v>0.0</v>
      </c>
      <c r="K77" s="47">
        <f t="shared" ref="K77:K506" si="5">IF($A77="","",IF(OR($G77="WoS",$G77="Scopus"),IF($H77="","",IF($H77&gt;=87.5,1,IF($H77&gt;=75,0.875,IF($H77&gt;=62.5,0.75,IF($H77&gt;=50,0.625,IF($H77&gt;=37.5,0.5,IF($H77&gt;=25,0.375,IF($H77&gt;=12.5,0.25,IF($H77&gt;=0.01,0.125,0))))))))),IF($G77="Dimensions",IF(OR($I77="",$J77=""),"",MIN(IF($I77&gt;=87.5,1,IF($I77&gt;=75,0.875,IF($I77&gt;=62.5,0.75,IF($I77&gt;=50,0.625,IF($I77&gt;=37.5,0.5,IF($I77&gt;=25,0.375,IF($I77&gt;=12.5,0.25,IF($I77&gt;=0.01,0.125,0)))))))),IF($J77&gt;=2,1,IF($J77&gt;=1.5,0.875,IF($J77&gt;=1,0.75,IF($J77&gt;=0.75,0.625,IF($J77&gt;=0.5,0.5,IF($J77&gt;=0.25,0.375,IF($J77&gt;=0.125,0.25,IF($J77&gt;=0.01,0.125,0)))))))))),"")))</f>
        <v>0</v>
      </c>
      <c r="L77" s="47" t="str">
        <f t="shared" ref="L77:L154" si="6">IF($A77="","",IF(AND($C77&gt;=2021,$C77&lt;=2026,$E77&lt;&gt;"",$K77&gt;0,LOWER($N77)="sim",LOWER($O77)="sim",OR(AND($F77="Exterior",OR($G77="WoS",$G77="Scopus")),AND($F77="Brasil",OR(AND(OR($G77="WoS",$G77="Scopus"),$H77&gt;=50),$G77="Dimensions")))),$K77,""))</f>
        <v/>
      </c>
      <c r="M77" s="41"/>
      <c r="N77" s="38"/>
      <c r="O77" s="38"/>
      <c r="P77" s="38"/>
    </row>
    <row r="78" ht="15.75" customHeight="1">
      <c r="A78" s="24" t="s">
        <v>313</v>
      </c>
      <c r="B78" s="28" t="str">
        <f>IF($A78="","",IFERROR(VLOOKUP($A78,'Resumo por docente'!$A$8:$B$57,2,FALSE),""))</f>
        <v>Inovação, Biotecnologia e Sustentabilidade Produtiva</v>
      </c>
      <c r="C78" s="31">
        <v>2026.0</v>
      </c>
      <c r="D78" s="24" t="s">
        <v>426</v>
      </c>
      <c r="E78" s="35" t="s">
        <v>427</v>
      </c>
      <c r="F78" s="38" t="s">
        <v>400</v>
      </c>
      <c r="G78" s="38" t="s">
        <v>401</v>
      </c>
      <c r="H78" s="59">
        <v>89.0</v>
      </c>
      <c r="I78" s="41"/>
      <c r="J78" s="59">
        <v>3.0</v>
      </c>
      <c r="K78" s="47">
        <f t="shared" si="5"/>
        <v>1</v>
      </c>
      <c r="L78" s="47" t="str">
        <f t="shared" si="6"/>
        <v/>
      </c>
      <c r="M78" s="41"/>
      <c r="N78" s="38"/>
      <c r="O78" s="38"/>
      <c r="P78" s="38"/>
    </row>
    <row r="79" ht="15.75" customHeight="1">
      <c r="A79" s="24" t="s">
        <v>313</v>
      </c>
      <c r="B79" s="28" t="str">
        <f>IF($A79="","",IFERROR(VLOOKUP($A79,'Resumo por docente'!$A$8:$B$57,2,FALSE),""))</f>
        <v>Inovação, Biotecnologia e Sustentabilidade Produtiva</v>
      </c>
      <c r="C79" s="31">
        <v>2026.0</v>
      </c>
      <c r="D79" s="24" t="s">
        <v>428</v>
      </c>
      <c r="E79" s="35" t="s">
        <v>429</v>
      </c>
      <c r="F79" s="38" t="s">
        <v>400</v>
      </c>
      <c r="G79" s="38" t="s">
        <v>401</v>
      </c>
      <c r="H79" s="59">
        <v>0.0</v>
      </c>
      <c r="I79" s="41"/>
      <c r="J79" s="59">
        <v>0.0</v>
      </c>
      <c r="K79" s="47">
        <f t="shared" si="5"/>
        <v>0</v>
      </c>
      <c r="L79" s="47" t="str">
        <f t="shared" si="6"/>
        <v/>
      </c>
      <c r="M79" s="41"/>
      <c r="N79" s="38"/>
      <c r="O79" s="38"/>
      <c r="P79" s="38"/>
    </row>
    <row r="80" ht="15.75" customHeight="1">
      <c r="A80" s="24" t="s">
        <v>313</v>
      </c>
      <c r="B80" s="28" t="str">
        <f>IF($A80="","",IFERROR(VLOOKUP($A80,'Resumo por docente'!$A$8:$B$57,2,FALSE),""))</f>
        <v>Inovação, Biotecnologia e Sustentabilidade Produtiva</v>
      </c>
      <c r="C80" s="31">
        <v>2025.0</v>
      </c>
      <c r="D80" s="24" t="s">
        <v>430</v>
      </c>
      <c r="E80" s="35" t="s">
        <v>431</v>
      </c>
      <c r="F80" s="38" t="s">
        <v>400</v>
      </c>
      <c r="G80" s="38" t="s">
        <v>401</v>
      </c>
      <c r="H80" s="59">
        <v>58.0</v>
      </c>
      <c r="I80" s="41"/>
      <c r="J80" s="59">
        <v>1.0</v>
      </c>
      <c r="K80" s="47">
        <f t="shared" si="5"/>
        <v>0.625</v>
      </c>
      <c r="L80" s="47" t="str">
        <f t="shared" si="6"/>
        <v/>
      </c>
      <c r="M80" s="41"/>
      <c r="N80" s="38"/>
      <c r="O80" s="38"/>
      <c r="P80" s="38"/>
    </row>
    <row r="81" ht="15.75" customHeight="1">
      <c r="A81" s="24" t="s">
        <v>313</v>
      </c>
      <c r="B81" s="28" t="str">
        <f>IF($A81="","",IFERROR(VLOOKUP($A81,'Resumo por docente'!$A$8:$B$57,2,FALSE),""))</f>
        <v>Inovação, Biotecnologia e Sustentabilidade Produtiva</v>
      </c>
      <c r="C81" s="31">
        <v>2025.0</v>
      </c>
      <c r="D81" s="24" t="s">
        <v>432</v>
      </c>
      <c r="E81" s="35" t="s">
        <v>433</v>
      </c>
      <c r="F81" s="38" t="s">
        <v>400</v>
      </c>
      <c r="G81" s="38" t="s">
        <v>401</v>
      </c>
      <c r="H81" s="59">
        <v>75.0</v>
      </c>
      <c r="I81" s="41"/>
      <c r="J81" s="59">
        <v>3.0</v>
      </c>
      <c r="K81" s="47">
        <f t="shared" si="5"/>
        <v>0.875</v>
      </c>
      <c r="L81" s="47" t="str">
        <f t="shared" si="6"/>
        <v/>
      </c>
      <c r="M81" s="41"/>
      <c r="N81" s="38"/>
      <c r="O81" s="38"/>
      <c r="P81" s="38"/>
    </row>
    <row r="82" ht="15.75" customHeight="1">
      <c r="A82" s="24" t="s">
        <v>313</v>
      </c>
      <c r="B82" s="28" t="str">
        <f>IF($A82="","",IFERROR(VLOOKUP($A82,'Resumo por docente'!$A$8:$B$57,2,FALSE),""))</f>
        <v>Inovação, Biotecnologia e Sustentabilidade Produtiva</v>
      </c>
      <c r="C82" s="31">
        <v>2025.0</v>
      </c>
      <c r="D82" s="24" t="s">
        <v>434</v>
      </c>
      <c r="E82" s="35" t="s">
        <v>435</v>
      </c>
      <c r="F82" s="44" t="s">
        <v>436</v>
      </c>
      <c r="G82" s="38" t="s">
        <v>401</v>
      </c>
      <c r="H82" s="59">
        <v>68.0</v>
      </c>
      <c r="I82" s="41"/>
      <c r="J82" s="59">
        <v>4.0</v>
      </c>
      <c r="K82" s="47">
        <f t="shared" si="5"/>
        <v>0.75</v>
      </c>
      <c r="L82" s="47" t="str">
        <f t="shared" si="6"/>
        <v/>
      </c>
      <c r="M82" s="41"/>
      <c r="N82" s="38"/>
      <c r="O82" s="38"/>
      <c r="P82" s="38"/>
    </row>
    <row r="83" ht="15.75" customHeight="1">
      <c r="A83" s="24" t="s">
        <v>313</v>
      </c>
      <c r="B83" s="28" t="str">
        <f>IF($A83="","",IFERROR(VLOOKUP($A83,'Resumo por docente'!$A$8:$B$57,2,FALSE),""))</f>
        <v>Inovação, Biotecnologia e Sustentabilidade Produtiva</v>
      </c>
      <c r="C83" s="31">
        <v>2025.0</v>
      </c>
      <c r="D83" s="24" t="s">
        <v>437</v>
      </c>
      <c r="E83" s="35" t="s">
        <v>438</v>
      </c>
      <c r="F83" s="38" t="s">
        <v>400</v>
      </c>
      <c r="G83" s="38" t="s">
        <v>401</v>
      </c>
      <c r="H83" s="59">
        <v>0.0</v>
      </c>
      <c r="I83" s="41"/>
      <c r="J83" s="59">
        <v>0.0</v>
      </c>
      <c r="K83" s="47">
        <f t="shared" si="5"/>
        <v>0</v>
      </c>
      <c r="L83" s="47" t="str">
        <f t="shared" si="6"/>
        <v/>
      </c>
      <c r="M83" s="41"/>
      <c r="N83" s="38"/>
      <c r="O83" s="38"/>
      <c r="P83" s="38"/>
    </row>
    <row r="84" ht="15.75" customHeight="1">
      <c r="A84" s="24" t="s">
        <v>313</v>
      </c>
      <c r="B84" s="28" t="str">
        <f>IF($A84="","",IFERROR(VLOOKUP($A84,'Resumo por docente'!$A$8:$B$57,2,FALSE),""))</f>
        <v>Inovação, Biotecnologia e Sustentabilidade Produtiva</v>
      </c>
      <c r="C84" s="31">
        <v>2024.0</v>
      </c>
      <c r="D84" s="24" t="s">
        <v>439</v>
      </c>
      <c r="E84" s="35" t="s">
        <v>440</v>
      </c>
      <c r="F84" s="38" t="s">
        <v>400</v>
      </c>
      <c r="G84" s="38" t="s">
        <v>401</v>
      </c>
      <c r="H84" s="59">
        <v>40.0</v>
      </c>
      <c r="I84" s="41"/>
      <c r="J84" s="59">
        <v>1.0</v>
      </c>
      <c r="K84" s="47">
        <f t="shared" si="5"/>
        <v>0.5</v>
      </c>
      <c r="L84" s="47" t="str">
        <f t="shared" si="6"/>
        <v/>
      </c>
      <c r="M84" s="41"/>
      <c r="N84" s="38"/>
      <c r="O84" s="38"/>
      <c r="P84" s="38"/>
    </row>
    <row r="85" ht="15.75" customHeight="1">
      <c r="A85" s="24" t="s">
        <v>313</v>
      </c>
      <c r="B85" s="28" t="str">
        <f>IF($A85="","",IFERROR(VLOOKUP($A85,'Resumo por docente'!$A$8:$B$57,2,FALSE),""))</f>
        <v>Inovação, Biotecnologia e Sustentabilidade Produtiva</v>
      </c>
      <c r="C85" s="31">
        <v>2024.0</v>
      </c>
      <c r="D85" s="24" t="s">
        <v>441</v>
      </c>
      <c r="E85" s="35" t="s">
        <v>442</v>
      </c>
      <c r="F85" s="38" t="s">
        <v>400</v>
      </c>
      <c r="G85" s="38" t="s">
        <v>401</v>
      </c>
      <c r="H85" s="59">
        <v>62.0</v>
      </c>
      <c r="I85" s="41"/>
      <c r="J85" s="59">
        <v>4.0</v>
      </c>
      <c r="K85" s="47">
        <f t="shared" si="5"/>
        <v>0.625</v>
      </c>
      <c r="L85" s="47" t="str">
        <f t="shared" si="6"/>
        <v/>
      </c>
      <c r="M85" s="41"/>
      <c r="N85" s="38"/>
      <c r="O85" s="38"/>
      <c r="P85" s="38"/>
    </row>
    <row r="86" ht="15.75" customHeight="1">
      <c r="A86" s="24" t="s">
        <v>313</v>
      </c>
      <c r="B86" s="28" t="str">
        <f>IF($A86="","",IFERROR(VLOOKUP($A86,'Resumo por docente'!$A$8:$B$57,2,FALSE),""))</f>
        <v>Inovação, Biotecnologia e Sustentabilidade Produtiva</v>
      </c>
      <c r="C86" s="31">
        <v>2024.0</v>
      </c>
      <c r="D86" s="24" t="s">
        <v>443</v>
      </c>
      <c r="E86" s="35" t="s">
        <v>444</v>
      </c>
      <c r="F86" s="38" t="s">
        <v>400</v>
      </c>
      <c r="G86" s="38" t="s">
        <v>401</v>
      </c>
      <c r="H86" s="59">
        <v>57.0</v>
      </c>
      <c r="I86" s="41"/>
      <c r="J86" s="59">
        <v>4.0</v>
      </c>
      <c r="K86" s="47">
        <f t="shared" si="5"/>
        <v>0.625</v>
      </c>
      <c r="L86" s="47" t="str">
        <f t="shared" si="6"/>
        <v/>
      </c>
      <c r="M86" s="41"/>
      <c r="N86" s="38"/>
      <c r="O86" s="38"/>
      <c r="P86" s="38"/>
    </row>
    <row r="87" ht="15.75" customHeight="1">
      <c r="A87" s="24" t="s">
        <v>313</v>
      </c>
      <c r="B87" s="28" t="str">
        <f>IF($A87="","",IFERROR(VLOOKUP($A87,'Resumo por docente'!$A$8:$B$57,2,FALSE),""))</f>
        <v>Inovação, Biotecnologia e Sustentabilidade Produtiva</v>
      </c>
      <c r="C87" s="31">
        <v>2023.0</v>
      </c>
      <c r="D87" s="24" t="s">
        <v>445</v>
      </c>
      <c r="E87" s="35" t="s">
        <v>446</v>
      </c>
      <c r="F87" s="38" t="s">
        <v>400</v>
      </c>
      <c r="G87" s="38" t="s">
        <v>401</v>
      </c>
      <c r="H87" s="59">
        <v>81.0</v>
      </c>
      <c r="I87" s="41"/>
      <c r="J87" s="59">
        <v>14.0</v>
      </c>
      <c r="K87" s="47">
        <f t="shared" si="5"/>
        <v>0.875</v>
      </c>
      <c r="L87" s="47" t="str">
        <f t="shared" si="6"/>
        <v/>
      </c>
      <c r="M87" s="41"/>
      <c r="N87" s="38"/>
      <c r="O87" s="38"/>
      <c r="P87" s="38"/>
    </row>
    <row r="88" ht="15.75" customHeight="1">
      <c r="A88" s="24" t="s">
        <v>313</v>
      </c>
      <c r="B88" s="28" t="str">
        <f>IF($A88="","",IFERROR(VLOOKUP($A88,'Resumo por docente'!$A$8:$B$57,2,FALSE),""))</f>
        <v>Inovação, Biotecnologia e Sustentabilidade Produtiva</v>
      </c>
      <c r="C88" s="31">
        <v>2023.0</v>
      </c>
      <c r="D88" s="24" t="s">
        <v>447</v>
      </c>
      <c r="E88" s="35" t="s">
        <v>448</v>
      </c>
      <c r="F88" s="38" t="s">
        <v>400</v>
      </c>
      <c r="G88" s="38" t="s">
        <v>401</v>
      </c>
      <c r="H88" s="59">
        <v>59.0</v>
      </c>
      <c r="I88" s="41"/>
      <c r="J88" s="59">
        <v>5.0</v>
      </c>
      <c r="K88" s="47">
        <f t="shared" si="5"/>
        <v>0.625</v>
      </c>
      <c r="L88" s="47" t="str">
        <f t="shared" si="6"/>
        <v/>
      </c>
      <c r="M88" s="41"/>
      <c r="N88" s="38"/>
      <c r="O88" s="38"/>
      <c r="P88" s="38"/>
    </row>
    <row r="89" ht="15.75" customHeight="1">
      <c r="A89" s="24" t="s">
        <v>313</v>
      </c>
      <c r="B89" s="28" t="str">
        <f>IF($A89="","",IFERROR(VLOOKUP($A89,'Resumo por docente'!$A$8:$B$57,2,FALSE),""))</f>
        <v>Inovação, Biotecnologia e Sustentabilidade Produtiva</v>
      </c>
      <c r="C89" s="31">
        <v>2021.0</v>
      </c>
      <c r="D89" s="24" t="s">
        <v>449</v>
      </c>
      <c r="E89" s="35" t="s">
        <v>450</v>
      </c>
      <c r="F89" s="38" t="s">
        <v>400</v>
      </c>
      <c r="G89" s="38" t="s">
        <v>401</v>
      </c>
      <c r="H89" s="59">
        <v>87.0</v>
      </c>
      <c r="I89" s="41"/>
      <c r="J89" s="59">
        <v>34.0</v>
      </c>
      <c r="K89" s="47">
        <f t="shared" si="5"/>
        <v>0.875</v>
      </c>
      <c r="L89" s="47" t="str">
        <f t="shared" si="6"/>
        <v/>
      </c>
      <c r="M89" s="41"/>
      <c r="N89" s="38"/>
      <c r="O89" s="38"/>
      <c r="P89" s="38"/>
    </row>
    <row r="90" ht="15.75" customHeight="1">
      <c r="A90" s="24" t="s">
        <v>313</v>
      </c>
      <c r="B90" s="28" t="str">
        <f>IF($A90="","",IFERROR(VLOOKUP($A90,'Resumo por docente'!$A$8:$B$57,2,FALSE),""))</f>
        <v>Inovação, Biotecnologia e Sustentabilidade Produtiva</v>
      </c>
      <c r="C90" s="31">
        <v>2021.0</v>
      </c>
      <c r="D90" s="24" t="s">
        <v>451</v>
      </c>
      <c r="E90" s="35" t="s">
        <v>452</v>
      </c>
      <c r="F90" s="38" t="s">
        <v>400</v>
      </c>
      <c r="G90" s="44" t="s">
        <v>401</v>
      </c>
      <c r="H90" s="59">
        <v>67.0</v>
      </c>
      <c r="I90" s="41"/>
      <c r="J90" s="59">
        <v>13.0</v>
      </c>
      <c r="K90" s="47">
        <f t="shared" si="5"/>
        <v>0.75</v>
      </c>
      <c r="L90" s="47" t="str">
        <f t="shared" si="6"/>
        <v/>
      </c>
      <c r="M90" s="41"/>
      <c r="N90" s="38"/>
      <c r="O90" s="38"/>
      <c r="P90" s="38"/>
    </row>
    <row r="91" ht="15.75" customHeight="1">
      <c r="A91" s="24" t="s">
        <v>313</v>
      </c>
      <c r="B91" s="28" t="str">
        <f>IF($A91="","",IFERROR(VLOOKUP($A91,'Resumo por docente'!$A$8:$B$57,2,FALSE),""))</f>
        <v>Inovação, Biotecnologia e Sustentabilidade Produtiva</v>
      </c>
      <c r="C91" s="31">
        <v>2021.0</v>
      </c>
      <c r="D91" s="24" t="s">
        <v>453</v>
      </c>
      <c r="E91" s="35" t="s">
        <v>454</v>
      </c>
      <c r="F91" s="38" t="s">
        <v>400</v>
      </c>
      <c r="G91" s="44" t="s">
        <v>401</v>
      </c>
      <c r="H91" s="59">
        <v>58.0</v>
      </c>
      <c r="I91" s="41"/>
      <c r="J91" s="59">
        <v>8.0</v>
      </c>
      <c r="K91" s="47">
        <f t="shared" si="5"/>
        <v>0.625</v>
      </c>
      <c r="L91" s="47" t="str">
        <f t="shared" si="6"/>
        <v/>
      </c>
      <c r="M91" s="41"/>
      <c r="N91" s="38"/>
      <c r="O91" s="38"/>
      <c r="P91" s="38"/>
    </row>
    <row r="92" ht="15.75" customHeight="1">
      <c r="A92" s="24" t="s">
        <v>298</v>
      </c>
      <c r="B92" s="28" t="str">
        <f>IF($A92="","",IFERROR(VLOOKUP($A92,'Resumo por docente'!$A$8:$B$57,2,FALSE),""))</f>
        <v/>
      </c>
      <c r="C92" s="31">
        <v>2025.0</v>
      </c>
      <c r="D92" s="24" t="s">
        <v>455</v>
      </c>
      <c r="E92" s="35" t="s">
        <v>456</v>
      </c>
      <c r="F92" s="38"/>
      <c r="G92" s="38"/>
      <c r="H92" s="41"/>
      <c r="I92" s="41"/>
      <c r="J92" s="41"/>
      <c r="K92" s="47" t="str">
        <f t="shared" si="5"/>
        <v/>
      </c>
      <c r="L92" s="47" t="str">
        <f t="shared" si="6"/>
        <v/>
      </c>
      <c r="M92" s="41"/>
      <c r="N92" s="44" t="s">
        <v>177</v>
      </c>
      <c r="O92" s="38"/>
      <c r="P92" s="38"/>
    </row>
    <row r="93" ht="15.75" customHeight="1">
      <c r="A93" s="24" t="s">
        <v>298</v>
      </c>
      <c r="B93" s="28" t="str">
        <f>IF($A93="","",IFERROR(VLOOKUP($A93,'Resumo por docente'!$A$8:$B$57,2,FALSE),""))</f>
        <v/>
      </c>
      <c r="C93" s="31">
        <v>2024.0</v>
      </c>
      <c r="D93" s="24" t="s">
        <v>457</v>
      </c>
      <c r="E93" s="35" t="s">
        <v>458</v>
      </c>
      <c r="F93" s="38"/>
      <c r="G93" s="38"/>
      <c r="H93" s="41"/>
      <c r="I93" s="41"/>
      <c r="J93" s="41"/>
      <c r="K93" s="47" t="str">
        <f t="shared" si="5"/>
        <v/>
      </c>
      <c r="L93" s="47" t="str">
        <f t="shared" si="6"/>
        <v/>
      </c>
      <c r="M93" s="41"/>
      <c r="N93" s="44" t="s">
        <v>177</v>
      </c>
      <c r="O93" s="38"/>
      <c r="P93" s="38"/>
    </row>
    <row r="94" ht="15.75" customHeight="1">
      <c r="A94" s="24" t="s">
        <v>298</v>
      </c>
      <c r="B94" s="28" t="str">
        <f>IF($A94="","",IFERROR(VLOOKUP($A94,'Resumo por docente'!$A$8:$B$57,2,FALSE),""))</f>
        <v/>
      </c>
      <c r="C94" s="31">
        <v>2024.0</v>
      </c>
      <c r="D94" s="24" t="s">
        <v>459</v>
      </c>
      <c r="E94" s="35" t="s">
        <v>460</v>
      </c>
      <c r="F94" s="38"/>
      <c r="G94" s="38"/>
      <c r="H94" s="41"/>
      <c r="I94" s="41"/>
      <c r="J94" s="41"/>
      <c r="K94" s="47" t="str">
        <f t="shared" si="5"/>
        <v/>
      </c>
      <c r="L94" s="47" t="str">
        <f t="shared" si="6"/>
        <v/>
      </c>
      <c r="M94" s="41"/>
      <c r="N94" s="44" t="s">
        <v>177</v>
      </c>
      <c r="O94" s="38"/>
      <c r="P94" s="38"/>
    </row>
    <row r="95" ht="15.75" customHeight="1">
      <c r="A95" s="24" t="s">
        <v>298</v>
      </c>
      <c r="B95" s="28" t="str">
        <f>IF($A95="","",IFERROR(VLOOKUP($A95,'Resumo por docente'!$A$8:$B$57,2,FALSE),""))</f>
        <v/>
      </c>
      <c r="C95" s="31">
        <v>2024.0</v>
      </c>
      <c r="D95" s="24" t="s">
        <v>461</v>
      </c>
      <c r="E95" s="35" t="s">
        <v>462</v>
      </c>
      <c r="F95" s="38"/>
      <c r="G95" s="38"/>
      <c r="H95" s="41"/>
      <c r="I95" s="41"/>
      <c r="J95" s="41"/>
      <c r="K95" s="47" t="str">
        <f t="shared" si="5"/>
        <v/>
      </c>
      <c r="L95" s="47" t="str">
        <f t="shared" si="6"/>
        <v/>
      </c>
      <c r="M95" s="41"/>
      <c r="N95" s="44" t="s">
        <v>177</v>
      </c>
      <c r="O95" s="38"/>
      <c r="P95" s="38"/>
    </row>
    <row r="96" ht="15.75" customHeight="1">
      <c r="A96" s="24" t="s">
        <v>298</v>
      </c>
      <c r="B96" s="28" t="str">
        <f>IF($A96="","",IFERROR(VLOOKUP($A96,'Resumo por docente'!$A$8:$B$57,2,FALSE),""))</f>
        <v/>
      </c>
      <c r="C96" s="31">
        <v>2023.0</v>
      </c>
      <c r="D96" s="24" t="s">
        <v>463</v>
      </c>
      <c r="E96" s="35" t="s">
        <v>464</v>
      </c>
      <c r="F96" s="38"/>
      <c r="G96" s="38"/>
      <c r="H96" s="41"/>
      <c r="I96" s="41"/>
      <c r="J96" s="41"/>
      <c r="K96" s="47" t="str">
        <f t="shared" si="5"/>
        <v/>
      </c>
      <c r="L96" s="47" t="str">
        <f t="shared" si="6"/>
        <v/>
      </c>
      <c r="M96" s="41"/>
      <c r="N96" s="44" t="s">
        <v>177</v>
      </c>
      <c r="O96" s="38"/>
      <c r="P96" s="38"/>
    </row>
    <row r="97" ht="15.75" customHeight="1">
      <c r="A97" s="24" t="s">
        <v>298</v>
      </c>
      <c r="B97" s="28" t="str">
        <f>IF($A97="","",IFERROR(VLOOKUP($A97,'Resumo por docente'!$A$8:$B$57,2,FALSE),""))</f>
        <v/>
      </c>
      <c r="C97" s="31">
        <v>2023.0</v>
      </c>
      <c r="D97" s="24" t="s">
        <v>465</v>
      </c>
      <c r="E97" s="35" t="s">
        <v>466</v>
      </c>
      <c r="F97" s="38"/>
      <c r="G97" s="38"/>
      <c r="H97" s="41"/>
      <c r="I97" s="41"/>
      <c r="J97" s="41"/>
      <c r="K97" s="47" t="str">
        <f t="shared" si="5"/>
        <v/>
      </c>
      <c r="L97" s="47" t="str">
        <f t="shared" si="6"/>
        <v/>
      </c>
      <c r="M97" s="41"/>
      <c r="N97" s="44" t="s">
        <v>177</v>
      </c>
      <c r="O97" s="38"/>
      <c r="P97" s="38"/>
    </row>
    <row r="98" ht="15.75" customHeight="1">
      <c r="A98" s="24" t="s">
        <v>298</v>
      </c>
      <c r="B98" s="28" t="str">
        <f>IF($A98="","",IFERROR(VLOOKUP($A98,'Resumo por docente'!$A$8:$B$57,2,FALSE),""))</f>
        <v/>
      </c>
      <c r="C98" s="31">
        <v>2022.0</v>
      </c>
      <c r="D98" s="24" t="s">
        <v>467</v>
      </c>
      <c r="E98" s="35" t="s">
        <v>468</v>
      </c>
      <c r="F98" s="38"/>
      <c r="G98" s="38"/>
      <c r="H98" s="41"/>
      <c r="I98" s="41"/>
      <c r="J98" s="41"/>
      <c r="K98" s="47" t="str">
        <f t="shared" si="5"/>
        <v/>
      </c>
      <c r="L98" s="47" t="str">
        <f t="shared" si="6"/>
        <v/>
      </c>
      <c r="M98" s="41"/>
      <c r="N98" s="44" t="s">
        <v>177</v>
      </c>
      <c r="O98" s="38"/>
      <c r="P98" s="38"/>
    </row>
    <row r="99" ht="15.75" customHeight="1">
      <c r="A99" s="24" t="s">
        <v>298</v>
      </c>
      <c r="B99" s="28" t="str">
        <f>IF($A99="","",IFERROR(VLOOKUP($A99,'Resumo por docente'!$A$8:$B$57,2,FALSE),""))</f>
        <v/>
      </c>
      <c r="C99" s="31">
        <v>2022.0</v>
      </c>
      <c r="D99" s="24" t="s">
        <v>469</v>
      </c>
      <c r="E99" s="35" t="s">
        <v>470</v>
      </c>
      <c r="F99" s="38"/>
      <c r="G99" s="38"/>
      <c r="H99" s="41"/>
      <c r="I99" s="41"/>
      <c r="J99" s="41"/>
      <c r="K99" s="47" t="str">
        <f t="shared" si="5"/>
        <v/>
      </c>
      <c r="L99" s="47" t="str">
        <f t="shared" si="6"/>
        <v/>
      </c>
      <c r="M99" s="41"/>
      <c r="N99" s="44" t="s">
        <v>177</v>
      </c>
      <c r="O99" s="38"/>
      <c r="P99" s="38"/>
    </row>
    <row r="100" ht="15.75" customHeight="1">
      <c r="A100" s="24" t="s">
        <v>298</v>
      </c>
      <c r="B100" s="28" t="str">
        <f>IF($A100="","",IFERROR(VLOOKUP($A100,'Resumo por docente'!$A$8:$B$57,2,FALSE),""))</f>
        <v/>
      </c>
      <c r="C100" s="31">
        <v>2022.0</v>
      </c>
      <c r="D100" s="24" t="s">
        <v>471</v>
      </c>
      <c r="E100" s="35" t="s">
        <v>472</v>
      </c>
      <c r="F100" s="38"/>
      <c r="G100" s="38"/>
      <c r="H100" s="41"/>
      <c r="I100" s="41"/>
      <c r="J100" s="41"/>
      <c r="K100" s="47" t="str">
        <f t="shared" si="5"/>
        <v/>
      </c>
      <c r="L100" s="47" t="str">
        <f t="shared" si="6"/>
        <v/>
      </c>
      <c r="M100" s="41"/>
      <c r="N100" s="44" t="s">
        <v>177</v>
      </c>
      <c r="O100" s="38"/>
      <c r="P100" s="38"/>
    </row>
    <row r="101" ht="15.75" customHeight="1">
      <c r="A101" s="24" t="s">
        <v>298</v>
      </c>
      <c r="B101" s="28" t="str">
        <f>IF($A101="","",IFERROR(VLOOKUP($A101,'Resumo por docente'!$A$8:$B$57,2,FALSE),""))</f>
        <v/>
      </c>
      <c r="C101" s="31">
        <v>2022.0</v>
      </c>
      <c r="D101" s="24" t="s">
        <v>473</v>
      </c>
      <c r="E101" s="35" t="s">
        <v>474</v>
      </c>
      <c r="F101" s="38"/>
      <c r="G101" s="38"/>
      <c r="H101" s="41"/>
      <c r="I101" s="41"/>
      <c r="J101" s="41"/>
      <c r="K101" s="47" t="str">
        <f t="shared" si="5"/>
        <v/>
      </c>
      <c r="L101" s="47" t="str">
        <f t="shared" si="6"/>
        <v/>
      </c>
      <c r="M101" s="41"/>
      <c r="N101" s="44" t="s">
        <v>177</v>
      </c>
      <c r="O101" s="38"/>
      <c r="P101" s="38"/>
    </row>
    <row r="102" ht="15.75" customHeight="1">
      <c r="A102" s="24" t="s">
        <v>298</v>
      </c>
      <c r="B102" s="28" t="str">
        <f>IF($A102="","",IFERROR(VLOOKUP($A102,'Resumo por docente'!$A$8:$B$57,2,FALSE),""))</f>
        <v/>
      </c>
      <c r="C102" s="31">
        <v>2022.0</v>
      </c>
      <c r="D102" s="24" t="s">
        <v>475</v>
      </c>
      <c r="E102" s="35" t="s">
        <v>476</v>
      </c>
      <c r="F102" s="38"/>
      <c r="G102" s="38"/>
      <c r="H102" s="41"/>
      <c r="I102" s="41"/>
      <c r="J102" s="41"/>
      <c r="K102" s="47" t="str">
        <f t="shared" si="5"/>
        <v/>
      </c>
      <c r="L102" s="47" t="str">
        <f t="shared" si="6"/>
        <v/>
      </c>
      <c r="M102" s="41"/>
      <c r="N102" s="44" t="s">
        <v>177</v>
      </c>
      <c r="O102" s="38"/>
      <c r="P102" s="38"/>
    </row>
    <row r="103" ht="15.75" customHeight="1">
      <c r="A103" s="24" t="s">
        <v>298</v>
      </c>
      <c r="B103" s="28" t="str">
        <f>IF($A103="","",IFERROR(VLOOKUP($A103,'Resumo por docente'!$A$8:$B$57,2,FALSE),""))</f>
        <v/>
      </c>
      <c r="C103" s="31">
        <v>2022.0</v>
      </c>
      <c r="D103" s="24" t="s">
        <v>477</v>
      </c>
      <c r="E103" s="35" t="s">
        <v>478</v>
      </c>
      <c r="F103" s="38"/>
      <c r="G103" s="38"/>
      <c r="H103" s="41"/>
      <c r="I103" s="41"/>
      <c r="J103" s="41"/>
      <c r="K103" s="47" t="str">
        <f t="shared" si="5"/>
        <v/>
      </c>
      <c r="L103" s="47" t="str">
        <f t="shared" si="6"/>
        <v/>
      </c>
      <c r="M103" s="41"/>
      <c r="N103" s="44" t="s">
        <v>177</v>
      </c>
      <c r="O103" s="38"/>
      <c r="P103" s="38"/>
    </row>
    <row r="104" ht="15.75" customHeight="1">
      <c r="A104" s="24" t="s">
        <v>298</v>
      </c>
      <c r="B104" s="28" t="str">
        <f>IF($A104="","",IFERROR(VLOOKUP($A104,'Resumo por docente'!$A$8:$B$57,2,FALSE),""))</f>
        <v/>
      </c>
      <c r="C104" s="31">
        <v>2022.0</v>
      </c>
      <c r="D104" s="24" t="s">
        <v>479</v>
      </c>
      <c r="E104" s="52"/>
      <c r="F104" s="38"/>
      <c r="G104" s="38"/>
      <c r="H104" s="41"/>
      <c r="I104" s="41"/>
      <c r="J104" s="41"/>
      <c r="K104" s="47" t="str">
        <f t="shared" si="5"/>
        <v/>
      </c>
      <c r="L104" s="47" t="str">
        <f t="shared" si="6"/>
        <v/>
      </c>
      <c r="M104" s="41"/>
      <c r="N104" s="44" t="s">
        <v>177</v>
      </c>
      <c r="O104" s="38"/>
      <c r="P104" s="38"/>
    </row>
    <row r="105" ht="15.75" customHeight="1">
      <c r="A105" s="24" t="s">
        <v>298</v>
      </c>
      <c r="B105" s="28" t="str">
        <f>IF($A105="","",IFERROR(VLOOKUP($A105,'Resumo por docente'!$A$8:$B$57,2,FALSE),""))</f>
        <v/>
      </c>
      <c r="C105" s="31">
        <v>2022.0</v>
      </c>
      <c r="D105" s="24" t="s">
        <v>480</v>
      </c>
      <c r="E105" s="35" t="s">
        <v>481</v>
      </c>
      <c r="F105" s="38"/>
      <c r="G105" s="38"/>
      <c r="H105" s="41"/>
      <c r="I105" s="41"/>
      <c r="J105" s="41"/>
      <c r="K105" s="47" t="str">
        <f t="shared" si="5"/>
        <v/>
      </c>
      <c r="L105" s="47" t="str">
        <f t="shared" si="6"/>
        <v/>
      </c>
      <c r="M105" s="41"/>
      <c r="N105" s="44" t="s">
        <v>177</v>
      </c>
      <c r="O105" s="38"/>
      <c r="P105" s="38"/>
    </row>
    <row r="106" ht="15.75" customHeight="1">
      <c r="A106" s="24" t="s">
        <v>347</v>
      </c>
      <c r="B106" s="28" t="str">
        <f>IF($A106="","",IFERROR(VLOOKUP($A106,'Resumo por docente'!$A$8:$B$57,2,FALSE),""))</f>
        <v/>
      </c>
      <c r="C106" s="31">
        <v>2026.0</v>
      </c>
      <c r="D106" s="24" t="s">
        <v>482</v>
      </c>
      <c r="E106" s="35" t="s">
        <v>483</v>
      </c>
      <c r="F106" s="38"/>
      <c r="G106" s="38"/>
      <c r="H106" s="41"/>
      <c r="I106" s="41"/>
      <c r="J106" s="41"/>
      <c r="K106" s="47" t="str">
        <f t="shared" si="5"/>
        <v/>
      </c>
      <c r="L106" s="47" t="str">
        <f t="shared" si="6"/>
        <v/>
      </c>
      <c r="M106" s="41"/>
      <c r="N106" s="38"/>
      <c r="O106" s="38"/>
      <c r="P106" s="38"/>
    </row>
    <row r="107" ht="15.75" customHeight="1">
      <c r="A107" s="24" t="s">
        <v>347</v>
      </c>
      <c r="B107" s="28" t="str">
        <f>IF($A107="","",IFERROR(VLOOKUP($A107,'Resumo por docente'!$A$8:$B$57,2,FALSE),""))</f>
        <v/>
      </c>
      <c r="C107" s="31">
        <v>2024.0</v>
      </c>
      <c r="D107" s="24" t="s">
        <v>484</v>
      </c>
      <c r="E107" s="35" t="s">
        <v>485</v>
      </c>
      <c r="F107" s="38"/>
      <c r="G107" s="38"/>
      <c r="H107" s="41"/>
      <c r="I107" s="41"/>
      <c r="J107" s="41"/>
      <c r="K107" s="47" t="str">
        <f t="shared" si="5"/>
        <v/>
      </c>
      <c r="L107" s="47" t="str">
        <f t="shared" si="6"/>
        <v/>
      </c>
      <c r="M107" s="41"/>
      <c r="N107" s="38"/>
      <c r="O107" s="38"/>
      <c r="P107" s="38"/>
    </row>
    <row r="108" ht="15.75" customHeight="1">
      <c r="A108" s="24" t="s">
        <v>347</v>
      </c>
      <c r="B108" s="28" t="str">
        <f>IF($A108="","",IFERROR(VLOOKUP($A108,'Resumo por docente'!$A$8:$B$57,2,FALSE),""))</f>
        <v/>
      </c>
      <c r="C108" s="31">
        <v>2024.0</v>
      </c>
      <c r="D108" s="24" t="s">
        <v>486</v>
      </c>
      <c r="E108" s="35" t="s">
        <v>487</v>
      </c>
      <c r="F108" s="38"/>
      <c r="G108" s="38"/>
      <c r="H108" s="41"/>
      <c r="I108" s="41"/>
      <c r="J108" s="41"/>
      <c r="K108" s="47" t="str">
        <f t="shared" si="5"/>
        <v/>
      </c>
      <c r="L108" s="47" t="str">
        <f t="shared" si="6"/>
        <v/>
      </c>
      <c r="M108" s="41"/>
      <c r="N108" s="38"/>
      <c r="O108" s="38"/>
      <c r="P108" s="38"/>
    </row>
    <row r="109" ht="15.75" customHeight="1">
      <c r="A109" s="24" t="s">
        <v>347</v>
      </c>
      <c r="B109" s="28" t="str">
        <f>IF($A109="","",IFERROR(VLOOKUP($A109,'Resumo por docente'!$A$8:$B$57,2,FALSE),""))</f>
        <v/>
      </c>
      <c r="C109" s="31">
        <v>2024.0</v>
      </c>
      <c r="D109" s="24" t="s">
        <v>488</v>
      </c>
      <c r="E109" s="35" t="s">
        <v>489</v>
      </c>
      <c r="F109" s="38"/>
      <c r="G109" s="38"/>
      <c r="H109" s="41"/>
      <c r="I109" s="41"/>
      <c r="J109" s="41"/>
      <c r="K109" s="47" t="str">
        <f t="shared" si="5"/>
        <v/>
      </c>
      <c r="L109" s="47" t="str">
        <f t="shared" si="6"/>
        <v/>
      </c>
      <c r="M109" s="41"/>
      <c r="N109" s="38"/>
      <c r="O109" s="38"/>
      <c r="P109" s="38"/>
    </row>
    <row r="110" ht="15.75" customHeight="1">
      <c r="A110" s="24" t="s">
        <v>347</v>
      </c>
      <c r="B110" s="28" t="str">
        <f>IF($A110="","",IFERROR(VLOOKUP($A110,'Resumo por docente'!$A$8:$B$57,2,FALSE),""))</f>
        <v/>
      </c>
      <c r="C110" s="31">
        <v>2024.0</v>
      </c>
      <c r="D110" s="24" t="s">
        <v>490</v>
      </c>
      <c r="E110" s="35" t="s">
        <v>491</v>
      </c>
      <c r="F110" s="38"/>
      <c r="G110" s="38"/>
      <c r="H110" s="41"/>
      <c r="I110" s="41"/>
      <c r="J110" s="41"/>
      <c r="K110" s="47" t="str">
        <f t="shared" si="5"/>
        <v/>
      </c>
      <c r="L110" s="47" t="str">
        <f t="shared" si="6"/>
        <v/>
      </c>
      <c r="M110" s="41"/>
      <c r="N110" s="38"/>
      <c r="O110" s="38"/>
      <c r="P110" s="38"/>
    </row>
    <row r="111" ht="15.75" customHeight="1">
      <c r="A111" s="24" t="s">
        <v>347</v>
      </c>
      <c r="B111" s="28" t="str">
        <f>IF($A111="","",IFERROR(VLOOKUP($A111,'Resumo por docente'!$A$8:$B$57,2,FALSE),""))</f>
        <v/>
      </c>
      <c r="C111" s="31">
        <v>2023.0</v>
      </c>
      <c r="D111" s="24" t="s">
        <v>492</v>
      </c>
      <c r="E111" s="35" t="s">
        <v>493</v>
      </c>
      <c r="F111" s="38"/>
      <c r="G111" s="38"/>
      <c r="H111" s="41"/>
      <c r="I111" s="41"/>
      <c r="J111" s="41"/>
      <c r="K111" s="47" t="str">
        <f t="shared" si="5"/>
        <v/>
      </c>
      <c r="L111" s="47" t="str">
        <f t="shared" si="6"/>
        <v/>
      </c>
      <c r="M111" s="41"/>
      <c r="N111" s="38"/>
      <c r="O111" s="38"/>
      <c r="P111" s="38"/>
    </row>
    <row r="112" ht="15.75" customHeight="1">
      <c r="A112" s="24" t="s">
        <v>347</v>
      </c>
      <c r="B112" s="28" t="str">
        <f>IF($A112="","",IFERROR(VLOOKUP($A112,'Resumo por docente'!$A$8:$B$57,2,FALSE),""))</f>
        <v/>
      </c>
      <c r="C112" s="31">
        <v>2022.0</v>
      </c>
      <c r="D112" s="24" t="s">
        <v>494</v>
      </c>
      <c r="E112" s="35" t="s">
        <v>495</v>
      </c>
      <c r="F112" s="38"/>
      <c r="G112" s="38"/>
      <c r="H112" s="41"/>
      <c r="I112" s="41"/>
      <c r="J112" s="41"/>
      <c r="K112" s="47" t="str">
        <f t="shared" si="5"/>
        <v/>
      </c>
      <c r="L112" s="47" t="str">
        <f t="shared" si="6"/>
        <v/>
      </c>
      <c r="M112" s="41"/>
      <c r="N112" s="38"/>
      <c r="O112" s="38"/>
      <c r="P112" s="38"/>
    </row>
    <row r="113" ht="15.75" customHeight="1">
      <c r="A113" s="24" t="s">
        <v>347</v>
      </c>
      <c r="B113" s="28" t="str">
        <f>IF($A113="","",IFERROR(VLOOKUP($A113,'Resumo por docente'!$A$8:$B$57,2,FALSE),""))</f>
        <v/>
      </c>
      <c r="C113" s="31">
        <v>2022.0</v>
      </c>
      <c r="D113" s="24" t="s">
        <v>496</v>
      </c>
      <c r="E113" s="35" t="s">
        <v>497</v>
      </c>
      <c r="F113" s="38"/>
      <c r="G113" s="38"/>
      <c r="H113" s="41"/>
      <c r="I113" s="41"/>
      <c r="J113" s="41"/>
      <c r="K113" s="47" t="str">
        <f t="shared" si="5"/>
        <v/>
      </c>
      <c r="L113" s="47" t="str">
        <f t="shared" si="6"/>
        <v/>
      </c>
      <c r="M113" s="41"/>
      <c r="N113" s="38"/>
      <c r="O113" s="38"/>
      <c r="P113" s="38"/>
    </row>
    <row r="114" ht="15.75" customHeight="1">
      <c r="A114" s="24" t="s">
        <v>347</v>
      </c>
      <c r="B114" s="28" t="str">
        <f>IF($A114="","",IFERROR(VLOOKUP($A114,'Resumo por docente'!$A$8:$B$57,2,FALSE),""))</f>
        <v/>
      </c>
      <c r="C114" s="31">
        <v>2022.0</v>
      </c>
      <c r="D114" s="24" t="s">
        <v>498</v>
      </c>
      <c r="E114" s="35" t="s">
        <v>499</v>
      </c>
      <c r="F114" s="38"/>
      <c r="G114" s="38"/>
      <c r="H114" s="41"/>
      <c r="I114" s="41"/>
      <c r="J114" s="41"/>
      <c r="K114" s="47" t="str">
        <f t="shared" si="5"/>
        <v/>
      </c>
      <c r="L114" s="47" t="str">
        <f t="shared" si="6"/>
        <v/>
      </c>
      <c r="M114" s="41"/>
      <c r="N114" s="38"/>
      <c r="O114" s="38"/>
      <c r="P114" s="38"/>
    </row>
    <row r="115" ht="15.75" customHeight="1">
      <c r="A115" s="24" t="s">
        <v>347</v>
      </c>
      <c r="B115" s="28" t="str">
        <f>IF($A115="","",IFERROR(VLOOKUP($A115,'Resumo por docente'!$A$8:$B$57,2,FALSE),""))</f>
        <v/>
      </c>
      <c r="C115" s="31">
        <v>2022.0</v>
      </c>
      <c r="D115" s="24" t="s">
        <v>500</v>
      </c>
      <c r="E115" s="35" t="s">
        <v>501</v>
      </c>
      <c r="F115" s="38"/>
      <c r="G115" s="38"/>
      <c r="H115" s="41"/>
      <c r="I115" s="41"/>
      <c r="J115" s="41"/>
      <c r="K115" s="47" t="str">
        <f t="shared" si="5"/>
        <v/>
      </c>
      <c r="L115" s="47" t="str">
        <f t="shared" si="6"/>
        <v/>
      </c>
      <c r="M115" s="41"/>
      <c r="N115" s="38"/>
      <c r="O115" s="38"/>
      <c r="P115" s="38"/>
    </row>
    <row r="116" ht="15.75" customHeight="1">
      <c r="A116" s="24" t="s">
        <v>316</v>
      </c>
      <c r="B116" s="28" t="str">
        <f>IF($A116="","",IFERROR(VLOOKUP($A116,'Resumo por docente'!$A$8:$B$57,2,FALSE),""))</f>
        <v>Inovação, Biotecnologia e Sustentabilidade Produtiva</v>
      </c>
      <c r="C116" s="31">
        <v>2026.0</v>
      </c>
      <c r="D116" s="24" t="s">
        <v>502</v>
      </c>
      <c r="E116" s="52"/>
      <c r="F116" s="38"/>
      <c r="G116" s="38"/>
      <c r="H116" s="41"/>
      <c r="I116" s="41"/>
      <c r="J116" s="41"/>
      <c r="K116" s="47" t="str">
        <f t="shared" si="5"/>
        <v/>
      </c>
      <c r="L116" s="47" t="str">
        <f t="shared" si="6"/>
        <v/>
      </c>
      <c r="M116" s="41"/>
      <c r="N116" s="44" t="s">
        <v>177</v>
      </c>
      <c r="O116" s="38"/>
      <c r="P116" s="38"/>
    </row>
    <row r="117" ht="15.75" customHeight="1">
      <c r="A117" s="24" t="s">
        <v>316</v>
      </c>
      <c r="B117" s="28" t="str">
        <f>IF($A117="","",IFERROR(VLOOKUP($A117,'Resumo por docente'!$A$8:$B$57,2,FALSE),""))</f>
        <v>Inovação, Biotecnologia e Sustentabilidade Produtiva</v>
      </c>
      <c r="C117" s="31">
        <v>2026.0</v>
      </c>
      <c r="D117" s="24" t="s">
        <v>503</v>
      </c>
      <c r="E117" s="35" t="s">
        <v>504</v>
      </c>
      <c r="F117" s="38"/>
      <c r="G117" s="38"/>
      <c r="H117" s="41"/>
      <c r="I117" s="41"/>
      <c r="J117" s="41"/>
      <c r="K117" s="47" t="str">
        <f t="shared" si="5"/>
        <v/>
      </c>
      <c r="L117" s="47" t="str">
        <f t="shared" si="6"/>
        <v/>
      </c>
      <c r="M117" s="41"/>
      <c r="N117" s="44" t="s">
        <v>177</v>
      </c>
      <c r="O117" s="38"/>
      <c r="P117" s="38"/>
    </row>
    <row r="118" ht="15.75" customHeight="1">
      <c r="A118" s="24" t="s">
        <v>316</v>
      </c>
      <c r="B118" s="28" t="str">
        <f>IF($A118="","",IFERROR(VLOOKUP($A118,'Resumo por docente'!$A$8:$B$57,2,FALSE),""))</f>
        <v>Inovação, Biotecnologia e Sustentabilidade Produtiva</v>
      </c>
      <c r="C118" s="31">
        <v>2026.0</v>
      </c>
      <c r="D118" s="24" t="s">
        <v>505</v>
      </c>
      <c r="E118" s="35" t="s">
        <v>506</v>
      </c>
      <c r="F118" s="38"/>
      <c r="G118" s="38"/>
      <c r="H118" s="41"/>
      <c r="I118" s="41"/>
      <c r="J118" s="41"/>
      <c r="K118" s="47" t="str">
        <f t="shared" si="5"/>
        <v/>
      </c>
      <c r="L118" s="47" t="str">
        <f t="shared" si="6"/>
        <v/>
      </c>
      <c r="M118" s="41"/>
      <c r="N118" s="44" t="s">
        <v>177</v>
      </c>
      <c r="O118" s="38"/>
      <c r="P118" s="38"/>
    </row>
    <row r="119" ht="15.75" customHeight="1">
      <c r="A119" s="24" t="s">
        <v>316</v>
      </c>
      <c r="B119" s="28" t="str">
        <f>IF($A119="","",IFERROR(VLOOKUP($A119,'Resumo por docente'!$A$8:$B$57,2,FALSE),""))</f>
        <v>Inovação, Biotecnologia e Sustentabilidade Produtiva</v>
      </c>
      <c r="C119" s="31">
        <v>2025.0</v>
      </c>
      <c r="D119" s="24" t="s">
        <v>507</v>
      </c>
      <c r="E119" s="35" t="s">
        <v>508</v>
      </c>
      <c r="F119" s="38"/>
      <c r="G119" s="38"/>
      <c r="H119" s="41"/>
      <c r="I119" s="41"/>
      <c r="J119" s="41"/>
      <c r="K119" s="47" t="str">
        <f t="shared" si="5"/>
        <v/>
      </c>
      <c r="L119" s="47" t="str">
        <f t="shared" si="6"/>
        <v/>
      </c>
      <c r="M119" s="41"/>
      <c r="N119" s="44" t="s">
        <v>177</v>
      </c>
      <c r="O119" s="38"/>
      <c r="P119" s="38"/>
    </row>
    <row r="120" ht="15.75" customHeight="1">
      <c r="A120" s="24" t="s">
        <v>316</v>
      </c>
      <c r="B120" s="28" t="str">
        <f>IF($A120="","",IFERROR(VLOOKUP($A120,'Resumo por docente'!$A$8:$B$57,2,FALSE),""))</f>
        <v>Inovação, Biotecnologia e Sustentabilidade Produtiva</v>
      </c>
      <c r="C120" s="31">
        <v>2025.0</v>
      </c>
      <c r="D120" s="24" t="s">
        <v>509</v>
      </c>
      <c r="E120" s="35" t="s">
        <v>510</v>
      </c>
      <c r="F120" s="38"/>
      <c r="G120" s="38"/>
      <c r="H120" s="41"/>
      <c r="I120" s="41"/>
      <c r="J120" s="41"/>
      <c r="K120" s="47" t="str">
        <f t="shared" si="5"/>
        <v/>
      </c>
      <c r="L120" s="47" t="str">
        <f t="shared" si="6"/>
        <v/>
      </c>
      <c r="M120" s="41"/>
      <c r="N120" s="44" t="s">
        <v>177</v>
      </c>
      <c r="O120" s="38"/>
      <c r="P120" s="38"/>
    </row>
    <row r="121" ht="15.75" customHeight="1">
      <c r="A121" s="24" t="s">
        <v>316</v>
      </c>
      <c r="B121" s="28" t="str">
        <f>IF($A121="","",IFERROR(VLOOKUP($A121,'Resumo por docente'!$A$8:$B$57,2,FALSE),""))</f>
        <v>Inovação, Biotecnologia e Sustentabilidade Produtiva</v>
      </c>
      <c r="C121" s="31">
        <v>2023.0</v>
      </c>
      <c r="D121" s="24" t="s">
        <v>511</v>
      </c>
      <c r="E121" s="35" t="s">
        <v>512</v>
      </c>
      <c r="F121" s="38"/>
      <c r="G121" s="38"/>
      <c r="H121" s="41"/>
      <c r="I121" s="41"/>
      <c r="J121" s="41"/>
      <c r="K121" s="47" t="str">
        <f t="shared" si="5"/>
        <v/>
      </c>
      <c r="L121" s="47" t="str">
        <f t="shared" si="6"/>
        <v/>
      </c>
      <c r="M121" s="41"/>
      <c r="N121" s="44" t="s">
        <v>177</v>
      </c>
      <c r="O121" s="38"/>
      <c r="P121" s="38"/>
    </row>
    <row r="122" ht="15.75" customHeight="1">
      <c r="A122" s="24" t="s">
        <v>316</v>
      </c>
      <c r="B122" s="28" t="str">
        <f>IF($A122="","",IFERROR(VLOOKUP($A122,'Resumo por docente'!$A$8:$B$57,2,FALSE),""))</f>
        <v>Inovação, Biotecnologia e Sustentabilidade Produtiva</v>
      </c>
      <c r="C122" s="31">
        <v>2023.0</v>
      </c>
      <c r="D122" s="24" t="s">
        <v>513</v>
      </c>
      <c r="E122" s="35" t="s">
        <v>514</v>
      </c>
      <c r="F122" s="38"/>
      <c r="G122" s="38"/>
      <c r="H122" s="41"/>
      <c r="I122" s="41"/>
      <c r="J122" s="41"/>
      <c r="K122" s="47" t="str">
        <f t="shared" si="5"/>
        <v/>
      </c>
      <c r="L122" s="47" t="str">
        <f t="shared" si="6"/>
        <v/>
      </c>
      <c r="M122" s="41"/>
      <c r="N122" s="44" t="s">
        <v>177</v>
      </c>
      <c r="O122" s="38"/>
      <c r="P122" s="38"/>
    </row>
    <row r="123" ht="15.75" customHeight="1">
      <c r="A123" s="24" t="s">
        <v>316</v>
      </c>
      <c r="B123" s="28" t="str">
        <f>IF($A123="","",IFERROR(VLOOKUP($A123,'Resumo por docente'!$A$8:$B$57,2,FALSE),""))</f>
        <v>Inovação, Biotecnologia e Sustentabilidade Produtiva</v>
      </c>
      <c r="C123" s="31">
        <v>2023.0</v>
      </c>
      <c r="D123" s="24" t="s">
        <v>515</v>
      </c>
      <c r="E123" s="35" t="s">
        <v>516</v>
      </c>
      <c r="F123" s="38"/>
      <c r="G123" s="38"/>
      <c r="H123" s="41"/>
      <c r="I123" s="41"/>
      <c r="J123" s="41"/>
      <c r="K123" s="47" t="str">
        <f t="shared" si="5"/>
        <v/>
      </c>
      <c r="L123" s="47" t="str">
        <f t="shared" si="6"/>
        <v/>
      </c>
      <c r="M123" s="41"/>
      <c r="N123" s="44" t="s">
        <v>177</v>
      </c>
      <c r="O123" s="38"/>
      <c r="P123" s="38"/>
    </row>
    <row r="124" ht="15.75" customHeight="1">
      <c r="A124" s="24" t="s">
        <v>316</v>
      </c>
      <c r="B124" s="28" t="str">
        <f>IF($A124="","",IFERROR(VLOOKUP($A124,'Resumo por docente'!$A$8:$B$57,2,FALSE),""))</f>
        <v>Inovação, Biotecnologia e Sustentabilidade Produtiva</v>
      </c>
      <c r="C124" s="31">
        <v>2022.0</v>
      </c>
      <c r="D124" s="24" t="s">
        <v>517</v>
      </c>
      <c r="E124" s="35" t="s">
        <v>518</v>
      </c>
      <c r="F124" s="38"/>
      <c r="G124" s="38"/>
      <c r="H124" s="41"/>
      <c r="I124" s="41"/>
      <c r="J124" s="41"/>
      <c r="K124" s="47" t="str">
        <f t="shared" si="5"/>
        <v/>
      </c>
      <c r="L124" s="47" t="str">
        <f t="shared" si="6"/>
        <v/>
      </c>
      <c r="M124" s="41"/>
      <c r="N124" s="44" t="s">
        <v>177</v>
      </c>
      <c r="O124" s="38"/>
      <c r="P124" s="38"/>
    </row>
    <row r="125" ht="15.75" customHeight="1">
      <c r="A125" s="24" t="s">
        <v>316</v>
      </c>
      <c r="B125" s="28" t="str">
        <f>IF($A125="","",IFERROR(VLOOKUP($A125,'Resumo por docente'!$A$8:$B$57,2,FALSE),""))</f>
        <v>Inovação, Biotecnologia e Sustentabilidade Produtiva</v>
      </c>
      <c r="C125" s="31">
        <v>2022.0</v>
      </c>
      <c r="D125" s="24" t="s">
        <v>519</v>
      </c>
      <c r="E125" s="35" t="s">
        <v>520</v>
      </c>
      <c r="F125" s="38"/>
      <c r="G125" s="38"/>
      <c r="H125" s="41"/>
      <c r="I125" s="41"/>
      <c r="J125" s="41"/>
      <c r="K125" s="47" t="str">
        <f t="shared" si="5"/>
        <v/>
      </c>
      <c r="L125" s="47" t="str">
        <f t="shared" si="6"/>
        <v/>
      </c>
      <c r="M125" s="41"/>
      <c r="N125" s="44" t="s">
        <v>177</v>
      </c>
      <c r="O125" s="38"/>
      <c r="P125" s="38"/>
    </row>
    <row r="126" ht="15.75" customHeight="1">
      <c r="A126" s="24" t="s">
        <v>316</v>
      </c>
      <c r="B126" s="28" t="str">
        <f>IF($A126="","",IFERROR(VLOOKUP($A126,'Resumo por docente'!$A$8:$B$57,2,FALSE),""))</f>
        <v>Inovação, Biotecnologia e Sustentabilidade Produtiva</v>
      </c>
      <c r="C126" s="31">
        <v>2022.0</v>
      </c>
      <c r="D126" s="24" t="s">
        <v>521</v>
      </c>
      <c r="E126" s="35" t="s">
        <v>522</v>
      </c>
      <c r="F126" s="38"/>
      <c r="G126" s="38"/>
      <c r="H126" s="41"/>
      <c r="I126" s="41"/>
      <c r="J126" s="41"/>
      <c r="K126" s="47" t="str">
        <f t="shared" si="5"/>
        <v/>
      </c>
      <c r="L126" s="47" t="str">
        <f t="shared" si="6"/>
        <v/>
      </c>
      <c r="M126" s="41"/>
      <c r="N126" s="44" t="s">
        <v>177</v>
      </c>
      <c r="O126" s="38"/>
      <c r="P126" s="38"/>
    </row>
    <row r="127" ht="23.25" customHeight="1">
      <c r="A127" s="24" t="s">
        <v>199</v>
      </c>
      <c r="B127" s="28" t="str">
        <f>IF($A127="","",IFERROR(VLOOKUP($A127,'Resumo por docente'!$A$8:$B$57,2,FALSE),""))</f>
        <v>Inovação, Biotecnologia e Sustentabilidade Produtiva</v>
      </c>
      <c r="C127" s="31">
        <v>2021.0</v>
      </c>
      <c r="D127" s="24" t="s">
        <v>523</v>
      </c>
      <c r="E127" s="35" t="s">
        <v>524</v>
      </c>
      <c r="F127" s="44" t="s">
        <v>400</v>
      </c>
      <c r="G127" s="44" t="s">
        <v>525</v>
      </c>
      <c r="H127" s="59">
        <v>68.4</v>
      </c>
      <c r="I127" s="41"/>
      <c r="J127" s="41"/>
      <c r="K127" s="47">
        <f t="shared" si="5"/>
        <v>0.75</v>
      </c>
      <c r="L127" s="47">
        <f t="shared" si="6"/>
        <v>0.75</v>
      </c>
      <c r="M127" s="41"/>
      <c r="N127" s="44" t="s">
        <v>177</v>
      </c>
      <c r="O127" s="44" t="s">
        <v>177</v>
      </c>
      <c r="P127" s="38"/>
    </row>
    <row r="128" ht="22.5" customHeight="1">
      <c r="A128" s="24" t="s">
        <v>199</v>
      </c>
      <c r="B128" s="28" t="str">
        <f>IF($A128="","",IFERROR(VLOOKUP($A128,'Resumo por docente'!$A$8:$B$57,2,FALSE),""))</f>
        <v>Inovação, Biotecnologia e Sustentabilidade Produtiva</v>
      </c>
      <c r="C128" s="31">
        <v>2021.0</v>
      </c>
      <c r="D128" s="24" t="s">
        <v>526</v>
      </c>
      <c r="E128" s="61" t="s">
        <v>527</v>
      </c>
      <c r="F128" s="44" t="s">
        <v>400</v>
      </c>
      <c r="G128" s="44" t="s">
        <v>528</v>
      </c>
      <c r="H128" s="59">
        <v>21.3</v>
      </c>
      <c r="I128" s="41"/>
      <c r="J128" s="41"/>
      <c r="K128" s="47" t="str">
        <f t="shared" si="5"/>
        <v/>
      </c>
      <c r="L128" s="47" t="str">
        <f t="shared" si="6"/>
        <v/>
      </c>
      <c r="M128" s="41"/>
      <c r="N128" s="44" t="s">
        <v>177</v>
      </c>
      <c r="O128" s="44" t="s">
        <v>176</v>
      </c>
      <c r="P128" s="38"/>
    </row>
    <row r="129" ht="15.75" customHeight="1">
      <c r="A129" s="24" t="s">
        <v>199</v>
      </c>
      <c r="B129" s="28" t="str">
        <f>IF($A129="","",IFERROR(VLOOKUP($A129,'Resumo por docente'!$A$8:$B$57,2,FALSE),""))</f>
        <v>Inovação, Biotecnologia e Sustentabilidade Produtiva</v>
      </c>
      <c r="C129" s="31">
        <v>2021.0</v>
      </c>
      <c r="D129" s="24" t="s">
        <v>529</v>
      </c>
      <c r="E129" s="61" t="s">
        <v>530</v>
      </c>
      <c r="F129" s="44" t="s">
        <v>436</v>
      </c>
      <c r="G129" s="44" t="s">
        <v>528</v>
      </c>
      <c r="H129" s="59">
        <v>20.5</v>
      </c>
      <c r="I129" s="41"/>
      <c r="J129" s="41"/>
      <c r="K129" s="47" t="str">
        <f t="shared" si="5"/>
        <v/>
      </c>
      <c r="L129" s="47" t="str">
        <f t="shared" si="6"/>
        <v/>
      </c>
      <c r="M129" s="41"/>
      <c r="N129" s="44" t="s">
        <v>177</v>
      </c>
      <c r="O129" s="44" t="s">
        <v>176</v>
      </c>
      <c r="P129" s="38"/>
    </row>
    <row r="130" ht="15.75" customHeight="1">
      <c r="A130" s="24" t="s">
        <v>199</v>
      </c>
      <c r="B130" s="28" t="str">
        <f>IF($A130="","",IFERROR(VLOOKUP($A130,'Resumo por docente'!$A$8:$B$57,2,FALSE),""))</f>
        <v>Inovação, Biotecnologia e Sustentabilidade Produtiva</v>
      </c>
      <c r="C130" s="31">
        <v>2022.0</v>
      </c>
      <c r="D130" s="24" t="s">
        <v>531</v>
      </c>
      <c r="E130" s="35" t="s">
        <v>532</v>
      </c>
      <c r="F130" s="44" t="s">
        <v>436</v>
      </c>
      <c r="G130" s="44" t="s">
        <v>528</v>
      </c>
      <c r="H130" s="59">
        <v>20.5</v>
      </c>
      <c r="I130" s="41"/>
      <c r="J130" s="41"/>
      <c r="K130" s="47" t="str">
        <f t="shared" si="5"/>
        <v/>
      </c>
      <c r="L130" s="47" t="str">
        <f t="shared" si="6"/>
        <v/>
      </c>
      <c r="M130" s="41"/>
      <c r="N130" s="44" t="s">
        <v>177</v>
      </c>
      <c r="O130" s="44" t="s">
        <v>176</v>
      </c>
      <c r="P130" s="44"/>
    </row>
    <row r="131" ht="15.75" customHeight="1">
      <c r="A131" s="24" t="s">
        <v>199</v>
      </c>
      <c r="B131" s="28" t="str">
        <f>IF($A131="","",IFERROR(VLOOKUP($A131,'Resumo por docente'!$A$8:$B$57,2,FALSE),""))</f>
        <v>Inovação, Biotecnologia e Sustentabilidade Produtiva</v>
      </c>
      <c r="C131" s="31">
        <v>2022.0</v>
      </c>
      <c r="D131" s="24" t="s">
        <v>533</v>
      </c>
      <c r="E131" s="35" t="s">
        <v>534</v>
      </c>
      <c r="F131" s="44" t="s">
        <v>400</v>
      </c>
      <c r="G131" s="44" t="s">
        <v>525</v>
      </c>
      <c r="H131" s="59">
        <v>68.4</v>
      </c>
      <c r="I131" s="41"/>
      <c r="J131" s="41"/>
      <c r="K131" s="47">
        <f t="shared" si="5"/>
        <v>0.75</v>
      </c>
      <c r="L131" s="47">
        <f t="shared" si="6"/>
        <v>0.75</v>
      </c>
      <c r="M131" s="41"/>
      <c r="N131" s="44" t="s">
        <v>177</v>
      </c>
      <c r="O131" s="44" t="s">
        <v>177</v>
      </c>
      <c r="P131" s="38"/>
    </row>
    <row r="132" ht="15.75" customHeight="1">
      <c r="A132" s="24" t="s">
        <v>199</v>
      </c>
      <c r="B132" s="28" t="str">
        <f>IF($A132="","",IFERROR(VLOOKUP($A132,'Resumo por docente'!$A$8:$B$57,2,FALSE),""))</f>
        <v>Inovação, Biotecnologia e Sustentabilidade Produtiva</v>
      </c>
      <c r="C132" s="31">
        <v>2023.0</v>
      </c>
      <c r="D132" s="24" t="s">
        <v>535</v>
      </c>
      <c r="E132" s="35" t="s">
        <v>536</v>
      </c>
      <c r="F132" s="44" t="s">
        <v>436</v>
      </c>
      <c r="G132" s="44" t="s">
        <v>525</v>
      </c>
      <c r="H132" s="59">
        <v>70.7</v>
      </c>
      <c r="I132" s="41"/>
      <c r="J132" s="41"/>
      <c r="K132" s="47">
        <f t="shared" si="5"/>
        <v>0.75</v>
      </c>
      <c r="L132" s="47">
        <f t="shared" si="6"/>
        <v>0.75</v>
      </c>
      <c r="M132" s="41"/>
      <c r="N132" s="44" t="s">
        <v>177</v>
      </c>
      <c r="O132" s="44" t="s">
        <v>177</v>
      </c>
      <c r="P132" s="38"/>
    </row>
    <row r="133" ht="15.75" customHeight="1">
      <c r="A133" s="24" t="s">
        <v>199</v>
      </c>
      <c r="B133" s="28" t="str">
        <f>IF($A133="","",IFERROR(VLOOKUP($A133,'Resumo por docente'!$A$8:$B$57,2,FALSE),""))</f>
        <v>Inovação, Biotecnologia e Sustentabilidade Produtiva</v>
      </c>
      <c r="C133" s="31">
        <v>2023.0</v>
      </c>
      <c r="D133" s="24" t="s">
        <v>537</v>
      </c>
      <c r="E133" s="35" t="s">
        <v>538</v>
      </c>
      <c r="F133" s="44" t="s">
        <v>436</v>
      </c>
      <c r="G133" s="44" t="s">
        <v>525</v>
      </c>
      <c r="H133" s="59">
        <v>57.4</v>
      </c>
      <c r="I133" s="41"/>
      <c r="J133" s="41"/>
      <c r="K133" s="47">
        <f t="shared" si="5"/>
        <v>0.625</v>
      </c>
      <c r="L133" s="47">
        <f t="shared" si="6"/>
        <v>0.625</v>
      </c>
      <c r="M133" s="41"/>
      <c r="N133" s="44" t="s">
        <v>177</v>
      </c>
      <c r="O133" s="44" t="s">
        <v>177</v>
      </c>
      <c r="P133" s="38"/>
    </row>
    <row r="134" ht="15.75" customHeight="1">
      <c r="A134" s="24" t="s">
        <v>199</v>
      </c>
      <c r="B134" s="28" t="str">
        <f>IF($A134="","",IFERROR(VLOOKUP($A134,'Resumo por docente'!$A$8:$B$57,2,FALSE),""))</f>
        <v>Inovação, Biotecnologia e Sustentabilidade Produtiva</v>
      </c>
      <c r="C134" s="31">
        <v>2023.0</v>
      </c>
      <c r="D134" s="24" t="s">
        <v>539</v>
      </c>
      <c r="E134" s="35" t="s">
        <v>540</v>
      </c>
      <c r="F134" s="44" t="s">
        <v>436</v>
      </c>
      <c r="G134" s="44" t="s">
        <v>528</v>
      </c>
      <c r="H134" s="59">
        <v>27.9</v>
      </c>
      <c r="I134" s="41"/>
      <c r="J134" s="41"/>
      <c r="K134" s="47" t="str">
        <f t="shared" si="5"/>
        <v/>
      </c>
      <c r="L134" s="47" t="str">
        <f t="shared" si="6"/>
        <v/>
      </c>
      <c r="M134" s="41"/>
      <c r="N134" s="44" t="s">
        <v>177</v>
      </c>
      <c r="O134" s="44" t="s">
        <v>176</v>
      </c>
      <c r="P134" s="38"/>
    </row>
    <row r="135" ht="15.75" customHeight="1">
      <c r="A135" s="24" t="s">
        <v>199</v>
      </c>
      <c r="B135" s="28" t="str">
        <f>IF($A135="","",IFERROR(VLOOKUP($A135,'Resumo por docente'!$A$8:$B$57,2,FALSE),""))</f>
        <v>Inovação, Biotecnologia e Sustentabilidade Produtiva</v>
      </c>
      <c r="C135" s="31">
        <v>2023.0</v>
      </c>
      <c r="D135" s="24" t="s">
        <v>541</v>
      </c>
      <c r="E135" s="62" t="s">
        <v>542</v>
      </c>
      <c r="F135" s="44" t="s">
        <v>436</v>
      </c>
      <c r="G135" s="44" t="s">
        <v>528</v>
      </c>
      <c r="H135" s="59">
        <v>0.6</v>
      </c>
      <c r="I135" s="41"/>
      <c r="J135" s="41"/>
      <c r="K135" s="47" t="str">
        <f t="shared" si="5"/>
        <v/>
      </c>
      <c r="L135" s="47" t="str">
        <f t="shared" si="6"/>
        <v/>
      </c>
      <c r="M135" s="41"/>
      <c r="N135" s="44" t="s">
        <v>177</v>
      </c>
      <c r="O135" s="44" t="s">
        <v>176</v>
      </c>
      <c r="P135" s="38"/>
    </row>
    <row r="136" ht="15.75" customHeight="1">
      <c r="A136" s="24" t="s">
        <v>199</v>
      </c>
      <c r="B136" s="28" t="str">
        <f>IF($A136="","",IFERROR(VLOOKUP($A136,'Resumo por docente'!$A$8:$B$57,2,FALSE),""))</f>
        <v>Inovação, Biotecnologia e Sustentabilidade Produtiva</v>
      </c>
      <c r="C136" s="31">
        <v>2024.0</v>
      </c>
      <c r="D136" s="24" t="s">
        <v>543</v>
      </c>
      <c r="E136" s="55" t="s">
        <v>544</v>
      </c>
      <c r="F136" s="44" t="s">
        <v>400</v>
      </c>
      <c r="G136" s="44" t="s">
        <v>525</v>
      </c>
      <c r="H136" s="59">
        <v>69.7</v>
      </c>
      <c r="I136" s="41"/>
      <c r="J136" s="41"/>
      <c r="K136" s="47">
        <f t="shared" si="5"/>
        <v>0.75</v>
      </c>
      <c r="L136" s="47">
        <f t="shared" si="6"/>
        <v>0.75</v>
      </c>
      <c r="M136" s="41"/>
      <c r="N136" s="44" t="s">
        <v>177</v>
      </c>
      <c r="O136" s="44" t="s">
        <v>177</v>
      </c>
      <c r="P136" s="38"/>
    </row>
    <row r="137" ht="15.75" customHeight="1">
      <c r="A137" s="24" t="s">
        <v>199</v>
      </c>
      <c r="B137" s="28" t="str">
        <f>IF($A137="","",IFERROR(VLOOKUP($A137,'Resumo por docente'!$A$8:$B$57,2,FALSE),""))</f>
        <v>Inovação, Biotecnologia e Sustentabilidade Produtiva</v>
      </c>
      <c r="C137" s="31">
        <v>2024.0</v>
      </c>
      <c r="D137" s="24" t="s">
        <v>545</v>
      </c>
      <c r="E137" s="35" t="s">
        <v>546</v>
      </c>
      <c r="F137" s="44" t="s">
        <v>400</v>
      </c>
      <c r="G137" s="44" t="s">
        <v>525</v>
      </c>
      <c r="H137" s="59">
        <v>60.5</v>
      </c>
      <c r="I137" s="41"/>
      <c r="J137" s="41"/>
      <c r="K137" s="47">
        <f t="shared" si="5"/>
        <v>0.625</v>
      </c>
      <c r="L137" s="47">
        <f t="shared" si="6"/>
        <v>0.625</v>
      </c>
      <c r="M137" s="41"/>
      <c r="N137" s="44" t="s">
        <v>177</v>
      </c>
      <c r="O137" s="44" t="s">
        <v>177</v>
      </c>
      <c r="P137" s="38"/>
    </row>
    <row r="138" ht="15.75" customHeight="1">
      <c r="A138" s="24" t="s">
        <v>199</v>
      </c>
      <c r="B138" s="28" t="str">
        <f>IF($A138="","",IFERROR(VLOOKUP($A138,'Resumo por docente'!$A$8:$B$57,2,FALSE),""))</f>
        <v>Inovação, Biotecnologia e Sustentabilidade Produtiva</v>
      </c>
      <c r="C138" s="31">
        <v>2024.0</v>
      </c>
      <c r="D138" s="24" t="s">
        <v>547</v>
      </c>
      <c r="E138" s="35" t="s">
        <v>548</v>
      </c>
      <c r="F138" s="44" t="s">
        <v>436</v>
      </c>
      <c r="G138" s="44" t="s">
        <v>525</v>
      </c>
      <c r="H138" s="59">
        <v>23.8</v>
      </c>
      <c r="I138" s="41"/>
      <c r="J138" s="41"/>
      <c r="K138" s="47">
        <f t="shared" si="5"/>
        <v>0.25</v>
      </c>
      <c r="L138" s="47" t="str">
        <f t="shared" si="6"/>
        <v/>
      </c>
      <c r="M138" s="41"/>
      <c r="N138" s="44" t="s">
        <v>177</v>
      </c>
      <c r="O138" s="44" t="s">
        <v>176</v>
      </c>
      <c r="P138" s="38"/>
    </row>
    <row r="139" ht="15.75" customHeight="1">
      <c r="A139" s="24" t="s">
        <v>199</v>
      </c>
      <c r="B139" s="28" t="str">
        <f>IF($A139="","",IFERROR(VLOOKUP($A139,'Resumo por docente'!$A$8:$B$57,2,FALSE),""))</f>
        <v>Inovação, Biotecnologia e Sustentabilidade Produtiva</v>
      </c>
      <c r="C139" s="31">
        <v>2026.0</v>
      </c>
      <c r="D139" s="63" t="s">
        <v>549</v>
      </c>
      <c r="E139" s="55" t="s">
        <v>550</v>
      </c>
      <c r="F139" s="44" t="s">
        <v>436</v>
      </c>
      <c r="G139" s="44" t="s">
        <v>525</v>
      </c>
      <c r="H139" s="59">
        <v>70.7</v>
      </c>
      <c r="I139" s="41"/>
      <c r="J139" s="41"/>
      <c r="K139" s="47">
        <f t="shared" si="5"/>
        <v>0.75</v>
      </c>
      <c r="L139" s="47">
        <f t="shared" si="6"/>
        <v>0.75</v>
      </c>
      <c r="M139" s="41"/>
      <c r="N139" s="44" t="s">
        <v>177</v>
      </c>
      <c r="O139" s="44" t="s">
        <v>177</v>
      </c>
      <c r="P139" s="45"/>
    </row>
    <row r="140" ht="15.75" customHeight="1">
      <c r="A140" s="24" t="s">
        <v>199</v>
      </c>
      <c r="B140" s="28" t="str">
        <f>IF($A140="","",IFERROR(VLOOKUP($A140,'Resumo por docente'!$A$8:$B$57,2,FALSE),""))</f>
        <v>Inovação, Biotecnologia e Sustentabilidade Produtiva</v>
      </c>
      <c r="C140" s="31">
        <v>2026.0</v>
      </c>
      <c r="D140" s="64" t="s">
        <v>551</v>
      </c>
      <c r="E140" s="55" t="s">
        <v>552</v>
      </c>
      <c r="F140" s="44" t="s">
        <v>436</v>
      </c>
      <c r="G140" s="44" t="s">
        <v>528</v>
      </c>
      <c r="H140" s="59">
        <v>27.9</v>
      </c>
      <c r="I140" s="41"/>
      <c r="J140" s="41"/>
      <c r="K140" s="47" t="str">
        <f t="shared" si="5"/>
        <v/>
      </c>
      <c r="L140" s="47" t="str">
        <f t="shared" si="6"/>
        <v/>
      </c>
      <c r="M140" s="41"/>
      <c r="N140" s="44" t="s">
        <v>177</v>
      </c>
      <c r="O140" s="44" t="s">
        <v>176</v>
      </c>
      <c r="P140" s="45"/>
    </row>
    <row r="141" ht="15.75" customHeight="1">
      <c r="A141" s="24" t="s">
        <v>199</v>
      </c>
      <c r="B141" s="28" t="str">
        <f>IF($A141="","",IFERROR(VLOOKUP($A141,'Resumo por docente'!$A$8:$B$57,2,FALSE),""))</f>
        <v>Inovação, Biotecnologia e Sustentabilidade Produtiva</v>
      </c>
      <c r="C141" s="31">
        <v>2026.0</v>
      </c>
      <c r="D141" s="24" t="s">
        <v>553</v>
      </c>
      <c r="E141" s="35" t="s">
        <v>554</v>
      </c>
      <c r="F141" s="44" t="s">
        <v>436</v>
      </c>
      <c r="G141" s="44" t="s">
        <v>525</v>
      </c>
      <c r="H141" s="59">
        <v>42.6</v>
      </c>
      <c r="I141" s="41"/>
      <c r="J141" s="41"/>
      <c r="K141" s="47">
        <f t="shared" si="5"/>
        <v>0.5</v>
      </c>
      <c r="L141" s="47" t="str">
        <f t="shared" si="6"/>
        <v/>
      </c>
      <c r="M141" s="41"/>
      <c r="N141" s="44" t="s">
        <v>177</v>
      </c>
      <c r="O141" s="44" t="s">
        <v>177</v>
      </c>
      <c r="P141" s="38"/>
    </row>
    <row r="142" ht="15.75" customHeight="1">
      <c r="A142" s="24" t="s">
        <v>555</v>
      </c>
      <c r="B142" s="28" t="str">
        <f>IF($A142="","",IFERROR(VLOOKUP($A142,'Resumo por docente'!$A$8:$B$57,2,FALSE),""))</f>
        <v/>
      </c>
      <c r="C142" s="31">
        <v>2025.0</v>
      </c>
      <c r="D142" s="24" t="s">
        <v>556</v>
      </c>
      <c r="E142" s="35" t="s">
        <v>557</v>
      </c>
      <c r="F142" s="38"/>
      <c r="G142" s="38"/>
      <c r="H142" s="41"/>
      <c r="I142" s="41"/>
      <c r="J142" s="41"/>
      <c r="K142" s="47" t="str">
        <f t="shared" si="5"/>
        <v/>
      </c>
      <c r="L142" s="47" t="str">
        <f t="shared" si="6"/>
        <v/>
      </c>
      <c r="M142" s="41"/>
      <c r="N142" s="44" t="s">
        <v>177</v>
      </c>
      <c r="O142" s="38"/>
      <c r="P142" s="38"/>
    </row>
    <row r="143" ht="15.75" customHeight="1">
      <c r="A143" s="24" t="s">
        <v>555</v>
      </c>
      <c r="B143" s="28" t="str">
        <f>IF($A143="","",IFERROR(VLOOKUP($A143,'Resumo por docente'!$A$8:$B$57,2,FALSE),""))</f>
        <v/>
      </c>
      <c r="C143" s="31">
        <v>2025.0</v>
      </c>
      <c r="D143" s="24" t="s">
        <v>558</v>
      </c>
      <c r="E143" s="35" t="s">
        <v>559</v>
      </c>
      <c r="F143" s="38"/>
      <c r="G143" s="38"/>
      <c r="H143" s="41"/>
      <c r="I143" s="41"/>
      <c r="J143" s="41"/>
      <c r="K143" s="47" t="str">
        <f t="shared" si="5"/>
        <v/>
      </c>
      <c r="L143" s="47" t="str">
        <f t="shared" si="6"/>
        <v/>
      </c>
      <c r="M143" s="41"/>
      <c r="N143" s="44" t="s">
        <v>177</v>
      </c>
      <c r="O143" s="38"/>
      <c r="P143" s="38"/>
    </row>
    <row r="144" ht="15.75" customHeight="1">
      <c r="A144" s="24" t="s">
        <v>555</v>
      </c>
      <c r="B144" s="28" t="str">
        <f>IF($A144="","",IFERROR(VLOOKUP($A144,'Resumo por docente'!$A$8:$B$57,2,FALSE),""))</f>
        <v/>
      </c>
      <c r="C144" s="31">
        <v>2024.0</v>
      </c>
      <c r="D144" s="24" t="s">
        <v>560</v>
      </c>
      <c r="E144" s="35" t="s">
        <v>561</v>
      </c>
      <c r="F144" s="38"/>
      <c r="G144" s="38"/>
      <c r="H144" s="41"/>
      <c r="I144" s="41"/>
      <c r="J144" s="41"/>
      <c r="K144" s="47" t="str">
        <f t="shared" si="5"/>
        <v/>
      </c>
      <c r="L144" s="47" t="str">
        <f t="shared" si="6"/>
        <v/>
      </c>
      <c r="M144" s="41"/>
      <c r="N144" s="44" t="s">
        <v>177</v>
      </c>
      <c r="O144" s="38"/>
      <c r="P144" s="38"/>
    </row>
    <row r="145" ht="15.75" customHeight="1">
      <c r="A145" s="24" t="s">
        <v>555</v>
      </c>
      <c r="B145" s="28" t="str">
        <f>IF($A145="","",IFERROR(VLOOKUP($A145,'Resumo por docente'!$A$8:$B$57,2,FALSE),""))</f>
        <v/>
      </c>
      <c r="C145" s="31">
        <v>2024.0</v>
      </c>
      <c r="D145" s="24" t="s">
        <v>562</v>
      </c>
      <c r="E145" s="35" t="s">
        <v>563</v>
      </c>
      <c r="F145" s="38"/>
      <c r="G145" s="38"/>
      <c r="H145" s="41"/>
      <c r="I145" s="41"/>
      <c r="J145" s="41"/>
      <c r="K145" s="47" t="str">
        <f t="shared" si="5"/>
        <v/>
      </c>
      <c r="L145" s="47" t="str">
        <f t="shared" si="6"/>
        <v/>
      </c>
      <c r="M145" s="41"/>
      <c r="N145" s="44" t="s">
        <v>177</v>
      </c>
      <c r="O145" s="38"/>
      <c r="P145" s="38"/>
    </row>
    <row r="146" ht="15.75" customHeight="1">
      <c r="A146" s="24" t="s">
        <v>555</v>
      </c>
      <c r="B146" s="28" t="str">
        <f>IF($A146="","",IFERROR(VLOOKUP($A146,'Resumo por docente'!$A$8:$B$57,2,FALSE),""))</f>
        <v/>
      </c>
      <c r="C146" s="31">
        <v>2024.0</v>
      </c>
      <c r="D146" s="24" t="s">
        <v>564</v>
      </c>
      <c r="E146" s="35" t="s">
        <v>565</v>
      </c>
      <c r="F146" s="38"/>
      <c r="G146" s="38"/>
      <c r="H146" s="41"/>
      <c r="I146" s="41"/>
      <c r="J146" s="41"/>
      <c r="K146" s="47" t="str">
        <f t="shared" si="5"/>
        <v/>
      </c>
      <c r="L146" s="47" t="str">
        <f t="shared" si="6"/>
        <v/>
      </c>
      <c r="M146" s="41"/>
      <c r="N146" s="44" t="s">
        <v>177</v>
      </c>
      <c r="O146" s="38"/>
      <c r="P146" s="38"/>
    </row>
    <row r="147" ht="15.75" customHeight="1">
      <c r="A147" s="24" t="s">
        <v>555</v>
      </c>
      <c r="B147" s="28" t="str">
        <f>IF($A147="","",IFERROR(VLOOKUP($A147,'Resumo por docente'!$A$8:$B$57,2,FALSE),""))</f>
        <v/>
      </c>
      <c r="C147" s="31">
        <v>2024.0</v>
      </c>
      <c r="D147" s="24" t="s">
        <v>566</v>
      </c>
      <c r="E147" s="52"/>
      <c r="F147" s="38"/>
      <c r="G147" s="38"/>
      <c r="H147" s="41"/>
      <c r="I147" s="41"/>
      <c r="J147" s="41"/>
      <c r="K147" s="47" t="str">
        <f t="shared" si="5"/>
        <v/>
      </c>
      <c r="L147" s="47" t="str">
        <f t="shared" si="6"/>
        <v/>
      </c>
      <c r="M147" s="41"/>
      <c r="N147" s="44" t="s">
        <v>177</v>
      </c>
      <c r="O147" s="38"/>
      <c r="P147" s="38"/>
    </row>
    <row r="148" ht="15.75" customHeight="1">
      <c r="A148" s="24" t="s">
        <v>286</v>
      </c>
      <c r="B148" s="28" t="str">
        <f>IF($A148="","",IFERROR(VLOOKUP($A148,'Resumo por docente'!$A$8:$B$57,2,FALSE),""))</f>
        <v>Inovação, Biotecnologia e Sustentabilidade Produtiva</v>
      </c>
      <c r="C148" s="31">
        <v>2021.0</v>
      </c>
      <c r="D148" s="65" t="s">
        <v>567</v>
      </c>
      <c r="E148" s="66" t="s">
        <v>568</v>
      </c>
      <c r="F148" s="44" t="s">
        <v>400</v>
      </c>
      <c r="G148" s="44" t="s">
        <v>525</v>
      </c>
      <c r="H148" s="59">
        <v>88.0</v>
      </c>
      <c r="I148" s="41"/>
      <c r="J148" s="41"/>
      <c r="K148" s="47">
        <f t="shared" si="5"/>
        <v>1</v>
      </c>
      <c r="L148" s="47" t="str">
        <f t="shared" si="6"/>
        <v/>
      </c>
      <c r="M148" s="41"/>
      <c r="N148" s="44" t="s">
        <v>177</v>
      </c>
      <c r="O148" s="38"/>
      <c r="P148" s="38"/>
    </row>
    <row r="149" ht="15.75" customHeight="1">
      <c r="A149" s="24" t="s">
        <v>286</v>
      </c>
      <c r="B149" s="28" t="str">
        <f>IF($A149="","",IFERROR(VLOOKUP($A149,'Resumo por docente'!$A$8:$B$57,2,FALSE),""))</f>
        <v>Inovação, Biotecnologia e Sustentabilidade Produtiva</v>
      </c>
      <c r="C149" s="31">
        <v>2022.0</v>
      </c>
      <c r="D149" s="65" t="s">
        <v>380</v>
      </c>
      <c r="E149" s="35" t="s">
        <v>381</v>
      </c>
      <c r="F149" s="44" t="s">
        <v>400</v>
      </c>
      <c r="G149" s="44" t="s">
        <v>525</v>
      </c>
      <c r="H149" s="59">
        <v>72.0</v>
      </c>
      <c r="I149" s="41"/>
      <c r="J149" s="41"/>
      <c r="K149" s="47">
        <f t="shared" si="5"/>
        <v>0.75</v>
      </c>
      <c r="L149" s="47" t="str">
        <f t="shared" si="6"/>
        <v/>
      </c>
      <c r="M149" s="41"/>
      <c r="N149" s="44" t="s">
        <v>177</v>
      </c>
      <c r="O149" s="38"/>
      <c r="P149" s="38"/>
    </row>
    <row r="150" ht="15.75" customHeight="1">
      <c r="A150" s="24" t="s">
        <v>286</v>
      </c>
      <c r="B150" s="28" t="str">
        <f>IF($A150="","",IFERROR(VLOOKUP($A150,'Resumo por docente'!$A$8:$B$57,2,FALSE),""))</f>
        <v>Inovação, Biotecnologia e Sustentabilidade Produtiva</v>
      </c>
      <c r="C150" s="31">
        <v>2024.0</v>
      </c>
      <c r="D150" s="65" t="s">
        <v>569</v>
      </c>
      <c r="E150" s="35" t="s">
        <v>570</v>
      </c>
      <c r="F150" s="44" t="s">
        <v>436</v>
      </c>
      <c r="G150" s="44" t="s">
        <v>528</v>
      </c>
      <c r="H150" s="41"/>
      <c r="I150" s="41"/>
      <c r="J150" s="41"/>
      <c r="K150" s="47" t="str">
        <f t="shared" si="5"/>
        <v/>
      </c>
      <c r="L150" s="47" t="str">
        <f t="shared" si="6"/>
        <v/>
      </c>
      <c r="M150" s="41"/>
      <c r="N150" s="44" t="s">
        <v>177</v>
      </c>
      <c r="O150" s="38"/>
      <c r="P150" s="38"/>
    </row>
    <row r="151" ht="15.75" customHeight="1">
      <c r="A151" s="24" t="s">
        <v>286</v>
      </c>
      <c r="B151" s="28" t="str">
        <f>IF($A151="","",IFERROR(VLOOKUP($A151,'Resumo por docente'!$A$8:$B$57,2,FALSE),""))</f>
        <v>Inovação, Biotecnologia e Sustentabilidade Produtiva</v>
      </c>
      <c r="C151" s="31">
        <v>2025.0</v>
      </c>
      <c r="D151" s="65" t="s">
        <v>571</v>
      </c>
      <c r="E151" s="24" t="s">
        <v>572</v>
      </c>
      <c r="F151" s="44" t="s">
        <v>436</v>
      </c>
      <c r="G151" s="44" t="s">
        <v>528</v>
      </c>
      <c r="H151" s="41"/>
      <c r="I151" s="41"/>
      <c r="J151" s="41"/>
      <c r="K151" s="47" t="str">
        <f t="shared" si="5"/>
        <v/>
      </c>
      <c r="L151" s="47" t="str">
        <f t="shared" si="6"/>
        <v/>
      </c>
      <c r="M151" s="41"/>
      <c r="N151" s="44" t="s">
        <v>177</v>
      </c>
      <c r="O151" s="38"/>
      <c r="P151" s="38"/>
    </row>
    <row r="152" ht="15.75" customHeight="1">
      <c r="A152" s="24" t="s">
        <v>286</v>
      </c>
      <c r="B152" s="28" t="str">
        <f>IF($A152="","",IFERROR(VLOOKUP($A152,'Resumo por docente'!$A$8:$B$57,2,FALSE),""))</f>
        <v>Inovação, Biotecnologia e Sustentabilidade Produtiva</v>
      </c>
      <c r="C152" s="31">
        <v>2026.0</v>
      </c>
      <c r="D152" s="65" t="s">
        <v>573</v>
      </c>
      <c r="E152" s="35" t="s">
        <v>574</v>
      </c>
      <c r="F152" s="44" t="s">
        <v>436</v>
      </c>
      <c r="G152" s="44" t="s">
        <v>528</v>
      </c>
      <c r="H152" s="41"/>
      <c r="I152" s="41"/>
      <c r="J152" s="41"/>
      <c r="K152" s="47" t="str">
        <f t="shared" si="5"/>
        <v/>
      </c>
      <c r="L152" s="47" t="str">
        <f t="shared" si="6"/>
        <v/>
      </c>
      <c r="M152" s="41"/>
      <c r="N152" s="44" t="s">
        <v>177</v>
      </c>
      <c r="O152" s="38"/>
      <c r="P152" s="38"/>
    </row>
    <row r="153" ht="15.75" customHeight="1">
      <c r="A153" s="24" t="s">
        <v>286</v>
      </c>
      <c r="B153" s="28" t="str">
        <f>IF($A153="","",IFERROR(VLOOKUP($A153,'Resumo por docente'!$A$8:$B$57,2,FALSE),""))</f>
        <v>Inovação, Biotecnologia e Sustentabilidade Produtiva</v>
      </c>
      <c r="C153" s="31">
        <v>2026.0</v>
      </c>
      <c r="D153" s="24" t="s">
        <v>575</v>
      </c>
      <c r="E153" s="35" t="s">
        <v>576</v>
      </c>
      <c r="F153" s="44" t="s">
        <v>436</v>
      </c>
      <c r="G153" s="44" t="s">
        <v>528</v>
      </c>
      <c r="H153" s="41"/>
      <c r="I153" s="41"/>
      <c r="J153" s="41"/>
      <c r="K153" s="47" t="str">
        <f t="shared" si="5"/>
        <v/>
      </c>
      <c r="L153" s="47" t="str">
        <f t="shared" si="6"/>
        <v/>
      </c>
      <c r="M153" s="41"/>
      <c r="N153" s="44" t="s">
        <v>177</v>
      </c>
      <c r="O153" s="38"/>
      <c r="P153" s="38"/>
    </row>
    <row r="154" ht="15.75" customHeight="1">
      <c r="A154" s="24" t="s">
        <v>286</v>
      </c>
      <c r="B154" s="28" t="str">
        <f>IF($A154="","",IFERROR(VLOOKUP($A154,'Resumo por docente'!$A$8:$B$57,2,FALSE),""))</f>
        <v>Inovação, Biotecnologia e Sustentabilidade Produtiva</v>
      </c>
      <c r="C154" s="31">
        <v>2026.0</v>
      </c>
      <c r="D154" s="24" t="s">
        <v>577</v>
      </c>
      <c r="E154" s="35" t="s">
        <v>578</v>
      </c>
      <c r="F154" s="44" t="s">
        <v>436</v>
      </c>
      <c r="G154" s="44" t="s">
        <v>528</v>
      </c>
      <c r="H154" s="41"/>
      <c r="I154" s="41"/>
      <c r="J154" s="41"/>
      <c r="K154" s="47" t="str">
        <f t="shared" si="5"/>
        <v/>
      </c>
      <c r="L154" s="47" t="str">
        <f t="shared" si="6"/>
        <v/>
      </c>
      <c r="M154" s="41"/>
      <c r="N154" s="44" t="s">
        <v>177</v>
      </c>
      <c r="O154" s="38"/>
      <c r="P154" s="38"/>
    </row>
    <row r="155" ht="15.75" customHeight="1">
      <c r="A155" s="24" t="s">
        <v>286</v>
      </c>
      <c r="B155" s="28" t="str">
        <f>IF($A155="","",IFERROR(VLOOKUP($A155,'Resumo por docente'!$A$8:$B$57,2,FALSE),""))</f>
        <v>Inovação, Biotecnologia e Sustentabilidade Produtiva</v>
      </c>
      <c r="C155" s="31">
        <v>2026.0</v>
      </c>
      <c r="D155" s="24" t="s">
        <v>579</v>
      </c>
      <c r="E155" s="35" t="s">
        <v>580</v>
      </c>
      <c r="F155" s="44" t="s">
        <v>400</v>
      </c>
      <c r="G155" s="44" t="s">
        <v>401</v>
      </c>
      <c r="H155" s="59">
        <v>85.0</v>
      </c>
      <c r="I155" s="41"/>
      <c r="J155" s="41"/>
      <c r="K155" s="47">
        <f t="shared" si="5"/>
        <v>0.875</v>
      </c>
      <c r="L155" s="47"/>
      <c r="M155" s="41"/>
      <c r="N155" s="44" t="s">
        <v>177</v>
      </c>
      <c r="O155" s="38"/>
      <c r="P155" s="38"/>
    </row>
    <row r="156" ht="15.75" customHeight="1">
      <c r="A156" s="52"/>
      <c r="B156" s="28" t="str">
        <f>IF($A156="","",IFERROR(VLOOKUP($A156,'Resumo por docente'!$A$8:$B$57,2,FALSE),""))</f>
        <v/>
      </c>
      <c r="C156" s="31"/>
      <c r="D156" s="52"/>
      <c r="E156" s="52"/>
      <c r="F156" s="38"/>
      <c r="G156" s="38"/>
      <c r="H156" s="41"/>
      <c r="I156" s="41"/>
      <c r="J156" s="41"/>
      <c r="K156" s="47" t="str">
        <f t="shared" si="5"/>
        <v/>
      </c>
      <c r="L156" s="47" t="str">
        <f t="shared" ref="L156:L506" si="7">IF($A156="","",IF(AND($C156&gt;=2021,$C156&lt;=2026,$E156&lt;&gt;"",$K156&gt;0,LOWER($N156)="sim",LOWER($O156)="sim",OR(AND($F156="Exterior",OR($G156="WoS",$G156="Scopus")),AND($F156="Brasil",OR(AND(OR($G156="WoS",$G156="Scopus"),$H156&gt;=50),$G156="Dimensions")))),$K156,""))</f>
        <v/>
      </c>
      <c r="M156" s="41"/>
      <c r="N156" s="38"/>
      <c r="O156" s="38"/>
      <c r="P156" s="38"/>
    </row>
    <row r="157" ht="15.75" customHeight="1">
      <c r="A157" s="52"/>
      <c r="B157" s="28" t="str">
        <f>IF($A157="","",IFERROR(VLOOKUP($A157,'Resumo por docente'!$A$8:$B$57,2,FALSE),""))</f>
        <v/>
      </c>
      <c r="C157" s="31"/>
      <c r="D157" s="52"/>
      <c r="E157" s="52"/>
      <c r="F157" s="38"/>
      <c r="G157" s="38"/>
      <c r="H157" s="41"/>
      <c r="I157" s="41"/>
      <c r="J157" s="41"/>
      <c r="K157" s="47" t="str">
        <f t="shared" si="5"/>
        <v/>
      </c>
      <c r="L157" s="47" t="str">
        <f t="shared" si="7"/>
        <v/>
      </c>
      <c r="M157" s="41"/>
      <c r="N157" s="38"/>
      <c r="O157" s="38"/>
      <c r="P157" s="38"/>
    </row>
    <row r="158" ht="15.75" customHeight="1">
      <c r="A158" s="52"/>
      <c r="B158" s="28" t="str">
        <f>IF($A158="","",IFERROR(VLOOKUP($A158,'Resumo por docente'!$A$8:$B$57,2,FALSE),""))</f>
        <v/>
      </c>
      <c r="C158" s="31"/>
      <c r="D158" s="52"/>
      <c r="E158" s="52"/>
      <c r="F158" s="38"/>
      <c r="G158" s="38"/>
      <c r="H158" s="41"/>
      <c r="I158" s="41"/>
      <c r="J158" s="41"/>
      <c r="K158" s="47" t="str">
        <f t="shared" si="5"/>
        <v/>
      </c>
      <c r="L158" s="47" t="str">
        <f t="shared" si="7"/>
        <v/>
      </c>
      <c r="M158" s="41"/>
      <c r="N158" s="38"/>
      <c r="O158" s="38"/>
      <c r="P158" s="38"/>
    </row>
    <row r="159" ht="15.75" customHeight="1">
      <c r="A159" s="52"/>
      <c r="B159" s="28" t="str">
        <f>IF($A159="","",IFERROR(VLOOKUP($A159,'Resumo por docente'!$A$8:$B$57,2,FALSE),""))</f>
        <v/>
      </c>
      <c r="C159" s="31"/>
      <c r="D159" s="52"/>
      <c r="E159" s="52"/>
      <c r="F159" s="38"/>
      <c r="G159" s="38"/>
      <c r="H159" s="41"/>
      <c r="I159" s="41"/>
      <c r="J159" s="41"/>
      <c r="K159" s="47" t="str">
        <f t="shared" si="5"/>
        <v/>
      </c>
      <c r="L159" s="47" t="str">
        <f t="shared" si="7"/>
        <v/>
      </c>
      <c r="M159" s="41"/>
      <c r="N159" s="38"/>
      <c r="O159" s="38"/>
      <c r="P159" s="38"/>
    </row>
    <row r="160" ht="15.75" customHeight="1">
      <c r="A160" s="52"/>
      <c r="B160" s="28" t="str">
        <f>IF($A160="","",IFERROR(VLOOKUP($A160,'Resumo por docente'!$A$8:$B$57,2,FALSE),""))</f>
        <v/>
      </c>
      <c r="C160" s="31"/>
      <c r="D160" s="52"/>
      <c r="E160" s="52"/>
      <c r="F160" s="38"/>
      <c r="G160" s="38"/>
      <c r="H160" s="41"/>
      <c r="I160" s="41"/>
      <c r="J160" s="41"/>
      <c r="K160" s="47" t="str">
        <f t="shared" si="5"/>
        <v/>
      </c>
      <c r="L160" s="47" t="str">
        <f t="shared" si="7"/>
        <v/>
      </c>
      <c r="M160" s="41"/>
      <c r="N160" s="38"/>
      <c r="O160" s="38"/>
      <c r="P160" s="38"/>
    </row>
    <row r="161" ht="15.75" customHeight="1">
      <c r="A161" s="52"/>
      <c r="B161" s="28" t="str">
        <f>IF($A161="","",IFERROR(VLOOKUP($A161,'Resumo por docente'!$A$8:$B$57,2,FALSE),""))</f>
        <v/>
      </c>
      <c r="C161" s="31"/>
      <c r="D161" s="52"/>
      <c r="E161" s="52"/>
      <c r="F161" s="38"/>
      <c r="G161" s="38"/>
      <c r="H161" s="41"/>
      <c r="I161" s="41"/>
      <c r="J161" s="41"/>
      <c r="K161" s="47" t="str">
        <f t="shared" si="5"/>
        <v/>
      </c>
      <c r="L161" s="47" t="str">
        <f t="shared" si="7"/>
        <v/>
      </c>
      <c r="M161" s="41"/>
      <c r="N161" s="38"/>
      <c r="O161" s="38"/>
      <c r="P161" s="38"/>
    </row>
    <row r="162" ht="15.75" customHeight="1">
      <c r="A162" s="52"/>
      <c r="B162" s="28" t="str">
        <f>IF($A162="","",IFERROR(VLOOKUP($A162,'Resumo por docente'!$A$8:$B$57,2,FALSE),""))</f>
        <v/>
      </c>
      <c r="C162" s="31"/>
      <c r="D162" s="52"/>
      <c r="E162" s="52"/>
      <c r="F162" s="38"/>
      <c r="G162" s="38"/>
      <c r="H162" s="41"/>
      <c r="I162" s="41"/>
      <c r="J162" s="41"/>
      <c r="K162" s="47" t="str">
        <f t="shared" si="5"/>
        <v/>
      </c>
      <c r="L162" s="47" t="str">
        <f t="shared" si="7"/>
        <v/>
      </c>
      <c r="M162" s="41"/>
      <c r="N162" s="38"/>
      <c r="O162" s="38"/>
      <c r="P162" s="38"/>
    </row>
    <row r="163" ht="15.75" customHeight="1">
      <c r="A163" s="52"/>
      <c r="B163" s="28" t="str">
        <f>IF($A163="","",IFERROR(VLOOKUP($A163,'Resumo por docente'!$A$8:$B$57,2,FALSE),""))</f>
        <v/>
      </c>
      <c r="C163" s="31"/>
      <c r="D163" s="52"/>
      <c r="E163" s="52"/>
      <c r="F163" s="38"/>
      <c r="G163" s="38"/>
      <c r="H163" s="41"/>
      <c r="I163" s="41"/>
      <c r="J163" s="41"/>
      <c r="K163" s="47" t="str">
        <f t="shared" si="5"/>
        <v/>
      </c>
      <c r="L163" s="47" t="str">
        <f t="shared" si="7"/>
        <v/>
      </c>
      <c r="M163" s="41"/>
      <c r="N163" s="38"/>
      <c r="O163" s="38"/>
      <c r="P163" s="38"/>
    </row>
    <row r="164" ht="15.75" customHeight="1">
      <c r="A164" s="52"/>
      <c r="B164" s="28" t="str">
        <f>IF($A164="","",IFERROR(VLOOKUP($A164,'Resumo por docente'!$A$8:$B$57,2,FALSE),""))</f>
        <v/>
      </c>
      <c r="C164" s="31"/>
      <c r="D164" s="52"/>
      <c r="E164" s="52"/>
      <c r="F164" s="38"/>
      <c r="G164" s="38"/>
      <c r="H164" s="41"/>
      <c r="I164" s="41"/>
      <c r="J164" s="41"/>
      <c r="K164" s="47" t="str">
        <f t="shared" si="5"/>
        <v/>
      </c>
      <c r="L164" s="47" t="str">
        <f t="shared" si="7"/>
        <v/>
      </c>
      <c r="M164" s="41"/>
      <c r="N164" s="38"/>
      <c r="O164" s="38"/>
      <c r="P164" s="38"/>
    </row>
    <row r="165" ht="15.75" customHeight="1">
      <c r="A165" s="52"/>
      <c r="B165" s="28" t="str">
        <f>IF($A165="","",IFERROR(VLOOKUP($A165,'Resumo por docente'!$A$8:$B$57,2,FALSE),""))</f>
        <v/>
      </c>
      <c r="C165" s="31"/>
      <c r="D165" s="52"/>
      <c r="E165" s="52"/>
      <c r="F165" s="38"/>
      <c r="G165" s="38"/>
      <c r="H165" s="41"/>
      <c r="I165" s="41"/>
      <c r="J165" s="41"/>
      <c r="K165" s="47" t="str">
        <f t="shared" si="5"/>
        <v/>
      </c>
      <c r="L165" s="47" t="str">
        <f t="shared" si="7"/>
        <v/>
      </c>
      <c r="M165" s="41"/>
      <c r="N165" s="38"/>
      <c r="O165" s="38"/>
      <c r="P165" s="38"/>
    </row>
    <row r="166" ht="15.75" customHeight="1">
      <c r="A166" s="52"/>
      <c r="B166" s="28" t="str">
        <f>IF($A166="","",IFERROR(VLOOKUP($A166,'Resumo por docente'!$A$8:$B$57,2,FALSE),""))</f>
        <v/>
      </c>
      <c r="C166" s="31"/>
      <c r="D166" s="52"/>
      <c r="E166" s="52"/>
      <c r="F166" s="38"/>
      <c r="G166" s="38"/>
      <c r="H166" s="41"/>
      <c r="I166" s="41"/>
      <c r="J166" s="41"/>
      <c r="K166" s="47" t="str">
        <f t="shared" si="5"/>
        <v/>
      </c>
      <c r="L166" s="47" t="str">
        <f t="shared" si="7"/>
        <v/>
      </c>
      <c r="M166" s="41"/>
      <c r="N166" s="38"/>
      <c r="O166" s="38"/>
      <c r="P166" s="38"/>
    </row>
    <row r="167" ht="15.75" customHeight="1">
      <c r="A167" s="52"/>
      <c r="B167" s="28" t="str">
        <f>IF($A167="","",IFERROR(VLOOKUP($A167,'Resumo por docente'!$A$8:$B$57,2,FALSE),""))</f>
        <v/>
      </c>
      <c r="C167" s="31"/>
      <c r="D167" s="52"/>
      <c r="E167" s="52"/>
      <c r="F167" s="38"/>
      <c r="G167" s="38"/>
      <c r="H167" s="41"/>
      <c r="I167" s="41"/>
      <c r="J167" s="41"/>
      <c r="K167" s="47" t="str">
        <f t="shared" si="5"/>
        <v/>
      </c>
      <c r="L167" s="47" t="str">
        <f t="shared" si="7"/>
        <v/>
      </c>
      <c r="M167" s="41"/>
      <c r="N167" s="38"/>
      <c r="O167" s="38"/>
      <c r="P167" s="38"/>
    </row>
    <row r="168" ht="15.75" customHeight="1">
      <c r="A168" s="52"/>
      <c r="B168" s="28" t="str">
        <f>IF($A168="","",IFERROR(VLOOKUP($A168,'Resumo por docente'!$A$8:$B$57,2,FALSE),""))</f>
        <v/>
      </c>
      <c r="C168" s="31"/>
      <c r="D168" s="52"/>
      <c r="E168" s="52"/>
      <c r="F168" s="38"/>
      <c r="G168" s="38"/>
      <c r="H168" s="41"/>
      <c r="I168" s="41"/>
      <c r="J168" s="41"/>
      <c r="K168" s="47" t="str">
        <f t="shared" si="5"/>
        <v/>
      </c>
      <c r="L168" s="47" t="str">
        <f t="shared" si="7"/>
        <v/>
      </c>
      <c r="M168" s="41"/>
      <c r="N168" s="38"/>
      <c r="O168" s="38"/>
      <c r="P168" s="38"/>
    </row>
    <row r="169" ht="15.75" customHeight="1">
      <c r="A169" s="52"/>
      <c r="B169" s="28" t="str">
        <f>IF($A169="","",IFERROR(VLOOKUP($A169,'Resumo por docente'!$A$8:$B$57,2,FALSE),""))</f>
        <v/>
      </c>
      <c r="C169" s="31"/>
      <c r="D169" s="52"/>
      <c r="E169" s="52"/>
      <c r="F169" s="38"/>
      <c r="G169" s="38"/>
      <c r="H169" s="41"/>
      <c r="I169" s="41"/>
      <c r="J169" s="41"/>
      <c r="K169" s="47" t="str">
        <f t="shared" si="5"/>
        <v/>
      </c>
      <c r="L169" s="47" t="str">
        <f t="shared" si="7"/>
        <v/>
      </c>
      <c r="M169" s="41"/>
      <c r="N169" s="38"/>
      <c r="O169" s="38"/>
      <c r="P169" s="38"/>
    </row>
    <row r="170" ht="15.75" customHeight="1">
      <c r="A170" s="52"/>
      <c r="B170" s="28" t="str">
        <f>IF($A170="","",IFERROR(VLOOKUP($A170,'Resumo por docente'!$A$8:$B$57,2,FALSE),""))</f>
        <v/>
      </c>
      <c r="C170" s="31"/>
      <c r="D170" s="52"/>
      <c r="E170" s="52"/>
      <c r="F170" s="38"/>
      <c r="G170" s="38"/>
      <c r="H170" s="41"/>
      <c r="I170" s="41"/>
      <c r="J170" s="41"/>
      <c r="K170" s="47" t="str">
        <f t="shared" si="5"/>
        <v/>
      </c>
      <c r="L170" s="47" t="str">
        <f t="shared" si="7"/>
        <v/>
      </c>
      <c r="M170" s="41"/>
      <c r="N170" s="38"/>
      <c r="O170" s="38"/>
      <c r="P170" s="38"/>
    </row>
    <row r="171" ht="15.75" customHeight="1">
      <c r="A171" s="52"/>
      <c r="B171" s="28" t="str">
        <f>IF($A171="","",IFERROR(VLOOKUP($A171,'Resumo por docente'!$A$8:$B$57,2,FALSE),""))</f>
        <v/>
      </c>
      <c r="C171" s="31"/>
      <c r="D171" s="52"/>
      <c r="E171" s="52"/>
      <c r="F171" s="38"/>
      <c r="G171" s="38"/>
      <c r="H171" s="41"/>
      <c r="I171" s="41"/>
      <c r="J171" s="41"/>
      <c r="K171" s="47" t="str">
        <f t="shared" si="5"/>
        <v/>
      </c>
      <c r="L171" s="47" t="str">
        <f t="shared" si="7"/>
        <v/>
      </c>
      <c r="M171" s="41"/>
      <c r="N171" s="38"/>
      <c r="O171" s="38"/>
      <c r="P171" s="38"/>
    </row>
    <row r="172" ht="15.75" customHeight="1">
      <c r="A172" s="52"/>
      <c r="B172" s="28" t="str">
        <f>IF($A172="","",IFERROR(VLOOKUP($A172,'Resumo por docente'!$A$8:$B$57,2,FALSE),""))</f>
        <v/>
      </c>
      <c r="C172" s="31"/>
      <c r="D172" s="52"/>
      <c r="E172" s="52"/>
      <c r="F172" s="38"/>
      <c r="G172" s="38"/>
      <c r="H172" s="41"/>
      <c r="I172" s="41"/>
      <c r="J172" s="41"/>
      <c r="K172" s="47" t="str">
        <f t="shared" si="5"/>
        <v/>
      </c>
      <c r="L172" s="47" t="str">
        <f t="shared" si="7"/>
        <v/>
      </c>
      <c r="M172" s="41"/>
      <c r="N172" s="38"/>
      <c r="O172" s="38"/>
      <c r="P172" s="38"/>
    </row>
    <row r="173" ht="15.75" customHeight="1">
      <c r="A173" s="52"/>
      <c r="B173" s="28" t="str">
        <f>IF($A173="","",IFERROR(VLOOKUP($A173,'Resumo por docente'!$A$8:$B$57,2,FALSE),""))</f>
        <v/>
      </c>
      <c r="C173" s="31"/>
      <c r="D173" s="52"/>
      <c r="E173" s="52"/>
      <c r="F173" s="38"/>
      <c r="G173" s="38"/>
      <c r="H173" s="41"/>
      <c r="I173" s="41"/>
      <c r="J173" s="41"/>
      <c r="K173" s="47" t="str">
        <f t="shared" si="5"/>
        <v/>
      </c>
      <c r="L173" s="47" t="str">
        <f t="shared" si="7"/>
        <v/>
      </c>
      <c r="M173" s="41"/>
      <c r="N173" s="38"/>
      <c r="O173" s="38"/>
      <c r="P173" s="38"/>
    </row>
    <row r="174" ht="15.75" customHeight="1">
      <c r="A174" s="52"/>
      <c r="B174" s="28" t="str">
        <f>IF($A174="","",IFERROR(VLOOKUP($A174,'Resumo por docente'!$A$8:$B$57,2,FALSE),""))</f>
        <v/>
      </c>
      <c r="C174" s="31"/>
      <c r="D174" s="52"/>
      <c r="E174" s="52"/>
      <c r="F174" s="38"/>
      <c r="G174" s="38"/>
      <c r="H174" s="41"/>
      <c r="I174" s="41"/>
      <c r="J174" s="41"/>
      <c r="K174" s="47" t="str">
        <f t="shared" si="5"/>
        <v/>
      </c>
      <c r="L174" s="47" t="str">
        <f t="shared" si="7"/>
        <v/>
      </c>
      <c r="M174" s="41"/>
      <c r="N174" s="38"/>
      <c r="O174" s="38"/>
      <c r="P174" s="38"/>
    </row>
    <row r="175" ht="15.75" customHeight="1">
      <c r="A175" s="52"/>
      <c r="B175" s="28" t="str">
        <f>IF($A175="","",IFERROR(VLOOKUP($A175,'Resumo por docente'!$A$8:$B$57,2,FALSE),""))</f>
        <v/>
      </c>
      <c r="C175" s="31"/>
      <c r="D175" s="52"/>
      <c r="E175" s="52"/>
      <c r="F175" s="38"/>
      <c r="G175" s="38"/>
      <c r="H175" s="41"/>
      <c r="I175" s="41"/>
      <c r="J175" s="41"/>
      <c r="K175" s="47" t="str">
        <f t="shared" si="5"/>
        <v/>
      </c>
      <c r="L175" s="47" t="str">
        <f t="shared" si="7"/>
        <v/>
      </c>
      <c r="M175" s="41"/>
      <c r="N175" s="38"/>
      <c r="O175" s="38"/>
      <c r="P175" s="38"/>
    </row>
    <row r="176" ht="15.75" customHeight="1">
      <c r="A176" s="52"/>
      <c r="B176" s="28" t="str">
        <f>IF($A176="","",IFERROR(VLOOKUP($A176,'Resumo por docente'!$A$8:$B$57,2,FALSE),""))</f>
        <v/>
      </c>
      <c r="C176" s="31"/>
      <c r="D176" s="52"/>
      <c r="E176" s="52"/>
      <c r="F176" s="38"/>
      <c r="G176" s="38"/>
      <c r="H176" s="41"/>
      <c r="I176" s="41"/>
      <c r="J176" s="41"/>
      <c r="K176" s="47" t="str">
        <f t="shared" si="5"/>
        <v/>
      </c>
      <c r="L176" s="47" t="str">
        <f t="shared" si="7"/>
        <v/>
      </c>
      <c r="M176" s="41"/>
      <c r="N176" s="38"/>
      <c r="O176" s="38"/>
      <c r="P176" s="38"/>
    </row>
    <row r="177" ht="15.75" customHeight="1">
      <c r="A177" s="52"/>
      <c r="B177" s="28" t="str">
        <f>IF($A177="","",IFERROR(VLOOKUP($A177,'Resumo por docente'!$A$8:$B$57,2,FALSE),""))</f>
        <v/>
      </c>
      <c r="C177" s="31"/>
      <c r="D177" s="52"/>
      <c r="E177" s="52"/>
      <c r="F177" s="38"/>
      <c r="G177" s="38"/>
      <c r="H177" s="41"/>
      <c r="I177" s="41"/>
      <c r="J177" s="41"/>
      <c r="K177" s="47" t="str">
        <f t="shared" si="5"/>
        <v/>
      </c>
      <c r="L177" s="47" t="str">
        <f t="shared" si="7"/>
        <v/>
      </c>
      <c r="M177" s="41"/>
      <c r="N177" s="38"/>
      <c r="O177" s="38"/>
      <c r="P177" s="38"/>
    </row>
    <row r="178" ht="15.75" customHeight="1">
      <c r="A178" s="52"/>
      <c r="B178" s="28" t="str">
        <f>IF($A178="","",IFERROR(VLOOKUP($A178,'Resumo por docente'!$A$8:$B$57,2,FALSE),""))</f>
        <v/>
      </c>
      <c r="C178" s="31"/>
      <c r="D178" s="52"/>
      <c r="E178" s="52"/>
      <c r="F178" s="38"/>
      <c r="G178" s="38"/>
      <c r="H178" s="41"/>
      <c r="I178" s="41"/>
      <c r="J178" s="41"/>
      <c r="K178" s="47" t="str">
        <f t="shared" si="5"/>
        <v/>
      </c>
      <c r="L178" s="47" t="str">
        <f t="shared" si="7"/>
        <v/>
      </c>
      <c r="M178" s="41"/>
      <c r="N178" s="38"/>
      <c r="O178" s="38"/>
      <c r="P178" s="38"/>
    </row>
    <row r="179" ht="15.75" customHeight="1">
      <c r="A179" s="52"/>
      <c r="B179" s="28" t="str">
        <f>IF($A179="","",IFERROR(VLOOKUP($A179,'Resumo por docente'!$A$8:$B$57,2,FALSE),""))</f>
        <v/>
      </c>
      <c r="C179" s="31"/>
      <c r="D179" s="52"/>
      <c r="E179" s="52"/>
      <c r="F179" s="38"/>
      <c r="G179" s="38"/>
      <c r="H179" s="41"/>
      <c r="I179" s="41"/>
      <c r="J179" s="41"/>
      <c r="K179" s="47" t="str">
        <f t="shared" si="5"/>
        <v/>
      </c>
      <c r="L179" s="47" t="str">
        <f t="shared" si="7"/>
        <v/>
      </c>
      <c r="M179" s="41"/>
      <c r="N179" s="38"/>
      <c r="O179" s="38"/>
      <c r="P179" s="38"/>
    </row>
    <row r="180" ht="15.75" customHeight="1">
      <c r="A180" s="52"/>
      <c r="B180" s="28" t="str">
        <f>IF($A180="","",IFERROR(VLOOKUP($A180,'Resumo por docente'!$A$8:$B$57,2,FALSE),""))</f>
        <v/>
      </c>
      <c r="C180" s="31"/>
      <c r="D180" s="52"/>
      <c r="E180" s="52"/>
      <c r="F180" s="38"/>
      <c r="G180" s="38"/>
      <c r="H180" s="41"/>
      <c r="I180" s="41"/>
      <c r="J180" s="41"/>
      <c r="K180" s="47" t="str">
        <f t="shared" si="5"/>
        <v/>
      </c>
      <c r="L180" s="47" t="str">
        <f t="shared" si="7"/>
        <v/>
      </c>
      <c r="M180" s="41"/>
      <c r="N180" s="38"/>
      <c r="O180" s="38"/>
      <c r="P180" s="38"/>
    </row>
    <row r="181" ht="15.75" customHeight="1">
      <c r="A181" s="52"/>
      <c r="B181" s="28" t="str">
        <f>IF($A181="","",IFERROR(VLOOKUP($A181,'Resumo por docente'!$A$8:$B$57,2,FALSE),""))</f>
        <v/>
      </c>
      <c r="C181" s="31"/>
      <c r="D181" s="52"/>
      <c r="E181" s="52"/>
      <c r="F181" s="38"/>
      <c r="G181" s="38"/>
      <c r="H181" s="41"/>
      <c r="I181" s="41"/>
      <c r="J181" s="41"/>
      <c r="K181" s="47" t="str">
        <f t="shared" si="5"/>
        <v/>
      </c>
      <c r="L181" s="47" t="str">
        <f t="shared" si="7"/>
        <v/>
      </c>
      <c r="M181" s="41"/>
      <c r="N181" s="38"/>
      <c r="O181" s="38"/>
      <c r="P181" s="38"/>
    </row>
    <row r="182" ht="15.75" customHeight="1">
      <c r="A182" s="52"/>
      <c r="B182" s="28" t="str">
        <f>IF($A182="","",IFERROR(VLOOKUP($A182,'Resumo por docente'!$A$8:$B$57,2,FALSE),""))</f>
        <v/>
      </c>
      <c r="C182" s="31"/>
      <c r="D182" s="52"/>
      <c r="E182" s="52"/>
      <c r="F182" s="38"/>
      <c r="G182" s="38"/>
      <c r="H182" s="41"/>
      <c r="I182" s="41"/>
      <c r="J182" s="41"/>
      <c r="K182" s="47" t="str">
        <f t="shared" si="5"/>
        <v/>
      </c>
      <c r="L182" s="47" t="str">
        <f t="shared" si="7"/>
        <v/>
      </c>
      <c r="M182" s="41"/>
      <c r="N182" s="38"/>
      <c r="O182" s="38"/>
      <c r="P182" s="38"/>
    </row>
    <row r="183" ht="15.75" customHeight="1">
      <c r="A183" s="52"/>
      <c r="B183" s="28" t="str">
        <f>IF($A183="","",IFERROR(VLOOKUP($A183,'Resumo por docente'!$A$8:$B$57,2,FALSE),""))</f>
        <v/>
      </c>
      <c r="C183" s="31"/>
      <c r="D183" s="52"/>
      <c r="E183" s="52"/>
      <c r="F183" s="38"/>
      <c r="G183" s="38"/>
      <c r="H183" s="41"/>
      <c r="I183" s="41"/>
      <c r="J183" s="41"/>
      <c r="K183" s="47" t="str">
        <f t="shared" si="5"/>
        <v/>
      </c>
      <c r="L183" s="47" t="str">
        <f t="shared" si="7"/>
        <v/>
      </c>
      <c r="M183" s="41"/>
      <c r="N183" s="38"/>
      <c r="O183" s="38"/>
      <c r="P183" s="38"/>
    </row>
    <row r="184" ht="15.75" customHeight="1">
      <c r="A184" s="52"/>
      <c r="B184" s="28" t="str">
        <f>IF($A184="","",IFERROR(VLOOKUP($A184,'Resumo por docente'!$A$8:$B$57,2,FALSE),""))</f>
        <v/>
      </c>
      <c r="C184" s="31"/>
      <c r="D184" s="52"/>
      <c r="E184" s="52"/>
      <c r="F184" s="38"/>
      <c r="G184" s="38"/>
      <c r="H184" s="41"/>
      <c r="I184" s="41"/>
      <c r="J184" s="41"/>
      <c r="K184" s="47" t="str">
        <f t="shared" si="5"/>
        <v/>
      </c>
      <c r="L184" s="47" t="str">
        <f t="shared" si="7"/>
        <v/>
      </c>
      <c r="M184" s="41"/>
      <c r="N184" s="38"/>
      <c r="O184" s="38"/>
      <c r="P184" s="38"/>
    </row>
    <row r="185" ht="15.75" customHeight="1">
      <c r="A185" s="52"/>
      <c r="B185" s="28" t="str">
        <f>IF($A185="","",IFERROR(VLOOKUP($A185,'Resumo por docente'!$A$8:$B$57,2,FALSE),""))</f>
        <v/>
      </c>
      <c r="C185" s="31"/>
      <c r="D185" s="52"/>
      <c r="E185" s="52"/>
      <c r="F185" s="38"/>
      <c r="G185" s="38"/>
      <c r="H185" s="41"/>
      <c r="I185" s="41"/>
      <c r="J185" s="41"/>
      <c r="K185" s="47" t="str">
        <f t="shared" si="5"/>
        <v/>
      </c>
      <c r="L185" s="47" t="str">
        <f t="shared" si="7"/>
        <v/>
      </c>
      <c r="M185" s="41"/>
      <c r="N185" s="38"/>
      <c r="O185" s="38"/>
      <c r="P185" s="38"/>
    </row>
    <row r="186" ht="15.75" customHeight="1">
      <c r="A186" s="52"/>
      <c r="B186" s="28" t="str">
        <f>IF($A186="","",IFERROR(VLOOKUP($A186,'Resumo por docente'!$A$8:$B$57,2,FALSE),""))</f>
        <v/>
      </c>
      <c r="C186" s="31"/>
      <c r="D186" s="52"/>
      <c r="E186" s="52"/>
      <c r="F186" s="38"/>
      <c r="G186" s="38"/>
      <c r="H186" s="41"/>
      <c r="I186" s="41"/>
      <c r="J186" s="41"/>
      <c r="K186" s="47" t="str">
        <f t="shared" si="5"/>
        <v/>
      </c>
      <c r="L186" s="47" t="str">
        <f t="shared" si="7"/>
        <v/>
      </c>
      <c r="M186" s="41"/>
      <c r="N186" s="38"/>
      <c r="O186" s="38"/>
      <c r="P186" s="38"/>
    </row>
    <row r="187" ht="15.75" customHeight="1">
      <c r="A187" s="52"/>
      <c r="B187" s="28" t="str">
        <f>IF($A187="","",IFERROR(VLOOKUP($A187,'Resumo por docente'!$A$8:$B$57,2,FALSE),""))</f>
        <v/>
      </c>
      <c r="C187" s="31"/>
      <c r="D187" s="52"/>
      <c r="E187" s="52"/>
      <c r="F187" s="38"/>
      <c r="G187" s="38"/>
      <c r="H187" s="41"/>
      <c r="I187" s="41"/>
      <c r="J187" s="41"/>
      <c r="K187" s="47" t="str">
        <f t="shared" si="5"/>
        <v/>
      </c>
      <c r="L187" s="47" t="str">
        <f t="shared" si="7"/>
        <v/>
      </c>
      <c r="M187" s="41"/>
      <c r="N187" s="38"/>
      <c r="O187" s="38"/>
      <c r="P187" s="38"/>
    </row>
    <row r="188" ht="15.75" customHeight="1">
      <c r="A188" s="52"/>
      <c r="B188" s="28" t="str">
        <f>IF($A188="","",IFERROR(VLOOKUP($A188,'Resumo por docente'!$A$8:$B$57,2,FALSE),""))</f>
        <v/>
      </c>
      <c r="C188" s="31"/>
      <c r="D188" s="52"/>
      <c r="E188" s="52"/>
      <c r="F188" s="38"/>
      <c r="G188" s="38"/>
      <c r="H188" s="41"/>
      <c r="I188" s="41"/>
      <c r="J188" s="41"/>
      <c r="K188" s="47" t="str">
        <f t="shared" si="5"/>
        <v/>
      </c>
      <c r="L188" s="47" t="str">
        <f t="shared" si="7"/>
        <v/>
      </c>
      <c r="M188" s="41"/>
      <c r="N188" s="38"/>
      <c r="O188" s="38"/>
      <c r="P188" s="38"/>
    </row>
    <row r="189" ht="15.75" customHeight="1">
      <c r="A189" s="52"/>
      <c r="B189" s="28" t="str">
        <f>IF($A189="","",IFERROR(VLOOKUP($A189,'Resumo por docente'!$A$8:$B$57,2,FALSE),""))</f>
        <v/>
      </c>
      <c r="C189" s="31"/>
      <c r="D189" s="52"/>
      <c r="E189" s="52"/>
      <c r="F189" s="38"/>
      <c r="G189" s="38"/>
      <c r="H189" s="41"/>
      <c r="I189" s="41"/>
      <c r="J189" s="41"/>
      <c r="K189" s="47" t="str">
        <f t="shared" si="5"/>
        <v/>
      </c>
      <c r="L189" s="47" t="str">
        <f t="shared" si="7"/>
        <v/>
      </c>
      <c r="M189" s="41"/>
      <c r="N189" s="38"/>
      <c r="O189" s="38"/>
      <c r="P189" s="38"/>
    </row>
    <row r="190" ht="15.75" customHeight="1">
      <c r="A190" s="52"/>
      <c r="B190" s="28" t="str">
        <f>IF($A190="","",IFERROR(VLOOKUP($A190,'Resumo por docente'!$A$8:$B$57,2,FALSE),""))</f>
        <v/>
      </c>
      <c r="C190" s="31"/>
      <c r="D190" s="52"/>
      <c r="E190" s="52"/>
      <c r="F190" s="38"/>
      <c r="G190" s="38"/>
      <c r="H190" s="41"/>
      <c r="I190" s="41"/>
      <c r="J190" s="41"/>
      <c r="K190" s="47" t="str">
        <f t="shared" si="5"/>
        <v/>
      </c>
      <c r="L190" s="47" t="str">
        <f t="shared" si="7"/>
        <v/>
      </c>
      <c r="M190" s="41"/>
      <c r="N190" s="38"/>
      <c r="O190" s="38"/>
      <c r="P190" s="38"/>
    </row>
    <row r="191" ht="15.75" customHeight="1">
      <c r="A191" s="52"/>
      <c r="B191" s="28" t="str">
        <f>IF($A191="","",IFERROR(VLOOKUP($A191,'Resumo por docente'!$A$8:$B$57,2,FALSE),""))</f>
        <v/>
      </c>
      <c r="C191" s="31"/>
      <c r="D191" s="52"/>
      <c r="E191" s="52"/>
      <c r="F191" s="38"/>
      <c r="G191" s="38"/>
      <c r="H191" s="41"/>
      <c r="I191" s="41"/>
      <c r="J191" s="41"/>
      <c r="K191" s="47" t="str">
        <f t="shared" si="5"/>
        <v/>
      </c>
      <c r="L191" s="47" t="str">
        <f t="shared" si="7"/>
        <v/>
      </c>
      <c r="M191" s="41"/>
      <c r="N191" s="38"/>
      <c r="O191" s="38"/>
      <c r="P191" s="38"/>
    </row>
    <row r="192" ht="15.75" customHeight="1">
      <c r="A192" s="52"/>
      <c r="B192" s="28" t="str">
        <f>IF($A192="","",IFERROR(VLOOKUP($A192,'Resumo por docente'!$A$8:$B$57,2,FALSE),""))</f>
        <v/>
      </c>
      <c r="C192" s="31"/>
      <c r="D192" s="52"/>
      <c r="E192" s="52"/>
      <c r="F192" s="38"/>
      <c r="G192" s="38"/>
      <c r="H192" s="41"/>
      <c r="I192" s="41"/>
      <c r="J192" s="41"/>
      <c r="K192" s="47" t="str">
        <f t="shared" si="5"/>
        <v/>
      </c>
      <c r="L192" s="47" t="str">
        <f t="shared" si="7"/>
        <v/>
      </c>
      <c r="M192" s="41"/>
      <c r="N192" s="38"/>
      <c r="O192" s="38"/>
      <c r="P192" s="38"/>
    </row>
    <row r="193" ht="15.75" customHeight="1">
      <c r="A193" s="52"/>
      <c r="B193" s="28" t="str">
        <f>IF($A193="","",IFERROR(VLOOKUP($A193,'Resumo por docente'!$A$8:$B$57,2,FALSE),""))</f>
        <v/>
      </c>
      <c r="C193" s="31"/>
      <c r="D193" s="52"/>
      <c r="E193" s="52"/>
      <c r="F193" s="38"/>
      <c r="G193" s="38"/>
      <c r="H193" s="41"/>
      <c r="I193" s="41"/>
      <c r="J193" s="41"/>
      <c r="K193" s="47" t="str">
        <f t="shared" si="5"/>
        <v/>
      </c>
      <c r="L193" s="47" t="str">
        <f t="shared" si="7"/>
        <v/>
      </c>
      <c r="M193" s="41"/>
      <c r="N193" s="38"/>
      <c r="O193" s="38"/>
      <c r="P193" s="38"/>
    </row>
    <row r="194" ht="15.75" customHeight="1">
      <c r="A194" s="52"/>
      <c r="B194" s="28" t="str">
        <f>IF($A194="","",IFERROR(VLOOKUP($A194,'Resumo por docente'!$A$8:$B$57,2,FALSE),""))</f>
        <v/>
      </c>
      <c r="C194" s="31"/>
      <c r="D194" s="52"/>
      <c r="E194" s="52"/>
      <c r="F194" s="38"/>
      <c r="G194" s="38"/>
      <c r="H194" s="41"/>
      <c r="I194" s="41"/>
      <c r="J194" s="41"/>
      <c r="K194" s="47" t="str">
        <f t="shared" si="5"/>
        <v/>
      </c>
      <c r="L194" s="47" t="str">
        <f t="shared" si="7"/>
        <v/>
      </c>
      <c r="M194" s="41"/>
      <c r="N194" s="38"/>
      <c r="O194" s="38"/>
      <c r="P194" s="38"/>
    </row>
    <row r="195" ht="15.75" customHeight="1">
      <c r="A195" s="52"/>
      <c r="B195" s="28" t="str">
        <f>IF($A195="","",IFERROR(VLOOKUP($A195,'Resumo por docente'!$A$8:$B$57,2,FALSE),""))</f>
        <v/>
      </c>
      <c r="C195" s="31"/>
      <c r="D195" s="52"/>
      <c r="E195" s="52"/>
      <c r="F195" s="38"/>
      <c r="G195" s="38"/>
      <c r="H195" s="41"/>
      <c r="I195" s="41"/>
      <c r="J195" s="41"/>
      <c r="K195" s="47" t="str">
        <f t="shared" si="5"/>
        <v/>
      </c>
      <c r="L195" s="47" t="str">
        <f t="shared" si="7"/>
        <v/>
      </c>
      <c r="M195" s="41"/>
      <c r="N195" s="38"/>
      <c r="O195" s="38"/>
      <c r="P195" s="38"/>
    </row>
    <row r="196" ht="15.75" customHeight="1">
      <c r="A196" s="52"/>
      <c r="B196" s="28" t="str">
        <f>IF($A196="","",IFERROR(VLOOKUP($A196,'Resumo por docente'!$A$8:$B$57,2,FALSE),""))</f>
        <v/>
      </c>
      <c r="C196" s="31"/>
      <c r="D196" s="52"/>
      <c r="E196" s="52"/>
      <c r="F196" s="38"/>
      <c r="G196" s="38"/>
      <c r="H196" s="41"/>
      <c r="I196" s="41"/>
      <c r="J196" s="41"/>
      <c r="K196" s="47" t="str">
        <f t="shared" si="5"/>
        <v/>
      </c>
      <c r="L196" s="47" t="str">
        <f t="shared" si="7"/>
        <v/>
      </c>
      <c r="M196" s="41"/>
      <c r="N196" s="38"/>
      <c r="O196" s="38"/>
      <c r="P196" s="38"/>
    </row>
    <row r="197" ht="15.75" customHeight="1">
      <c r="A197" s="52"/>
      <c r="B197" s="28" t="str">
        <f>IF($A197="","",IFERROR(VLOOKUP($A197,'Resumo por docente'!$A$8:$B$57,2,FALSE),""))</f>
        <v/>
      </c>
      <c r="C197" s="31"/>
      <c r="D197" s="52"/>
      <c r="E197" s="52"/>
      <c r="F197" s="38"/>
      <c r="G197" s="38"/>
      <c r="H197" s="41"/>
      <c r="I197" s="41"/>
      <c r="J197" s="41"/>
      <c r="K197" s="47" t="str">
        <f t="shared" si="5"/>
        <v/>
      </c>
      <c r="L197" s="47" t="str">
        <f t="shared" si="7"/>
        <v/>
      </c>
      <c r="M197" s="41"/>
      <c r="N197" s="38"/>
      <c r="O197" s="38"/>
      <c r="P197" s="38"/>
    </row>
    <row r="198" ht="15.75" customHeight="1">
      <c r="A198" s="52"/>
      <c r="B198" s="28" t="str">
        <f>IF($A198="","",IFERROR(VLOOKUP($A198,'Resumo por docente'!$A$8:$B$57,2,FALSE),""))</f>
        <v/>
      </c>
      <c r="C198" s="31"/>
      <c r="D198" s="52"/>
      <c r="E198" s="52"/>
      <c r="F198" s="38"/>
      <c r="G198" s="38"/>
      <c r="H198" s="41"/>
      <c r="I198" s="41"/>
      <c r="J198" s="41"/>
      <c r="K198" s="47" t="str">
        <f t="shared" si="5"/>
        <v/>
      </c>
      <c r="L198" s="47" t="str">
        <f t="shared" si="7"/>
        <v/>
      </c>
      <c r="M198" s="41"/>
      <c r="N198" s="38"/>
      <c r="O198" s="38"/>
      <c r="P198" s="38"/>
    </row>
    <row r="199" ht="15.75" customHeight="1">
      <c r="A199" s="52"/>
      <c r="B199" s="28" t="str">
        <f>IF($A199="","",IFERROR(VLOOKUP($A199,'Resumo por docente'!$A$8:$B$57,2,FALSE),""))</f>
        <v/>
      </c>
      <c r="C199" s="31"/>
      <c r="D199" s="52"/>
      <c r="E199" s="52"/>
      <c r="F199" s="38"/>
      <c r="G199" s="38"/>
      <c r="H199" s="41"/>
      <c r="I199" s="41"/>
      <c r="J199" s="41"/>
      <c r="K199" s="47" t="str">
        <f t="shared" si="5"/>
        <v/>
      </c>
      <c r="L199" s="47" t="str">
        <f t="shared" si="7"/>
        <v/>
      </c>
      <c r="M199" s="41"/>
      <c r="N199" s="38"/>
      <c r="O199" s="38"/>
      <c r="P199" s="38"/>
    </row>
    <row r="200" ht="15.75" customHeight="1">
      <c r="A200" s="52"/>
      <c r="B200" s="28" t="str">
        <f>IF($A200="","",IFERROR(VLOOKUP($A200,'Resumo por docente'!$A$8:$B$57,2,FALSE),""))</f>
        <v/>
      </c>
      <c r="C200" s="31"/>
      <c r="D200" s="52"/>
      <c r="E200" s="52"/>
      <c r="F200" s="38"/>
      <c r="G200" s="38"/>
      <c r="H200" s="41"/>
      <c r="I200" s="41"/>
      <c r="J200" s="41"/>
      <c r="K200" s="47" t="str">
        <f t="shared" si="5"/>
        <v/>
      </c>
      <c r="L200" s="47" t="str">
        <f t="shared" si="7"/>
        <v/>
      </c>
      <c r="M200" s="41"/>
      <c r="N200" s="38"/>
      <c r="O200" s="38"/>
      <c r="P200" s="38"/>
    </row>
    <row r="201" ht="15.75" customHeight="1">
      <c r="A201" s="52"/>
      <c r="B201" s="28" t="str">
        <f>IF($A201="","",IFERROR(VLOOKUP($A201,'Resumo por docente'!$A$8:$B$57,2,FALSE),""))</f>
        <v/>
      </c>
      <c r="C201" s="31"/>
      <c r="D201" s="52"/>
      <c r="E201" s="52"/>
      <c r="F201" s="38"/>
      <c r="G201" s="38"/>
      <c r="H201" s="41"/>
      <c r="I201" s="41"/>
      <c r="J201" s="41"/>
      <c r="K201" s="47" t="str">
        <f t="shared" si="5"/>
        <v/>
      </c>
      <c r="L201" s="47" t="str">
        <f t="shared" si="7"/>
        <v/>
      </c>
      <c r="M201" s="41"/>
      <c r="N201" s="38"/>
      <c r="O201" s="38"/>
      <c r="P201" s="38"/>
    </row>
    <row r="202" ht="15.75" customHeight="1">
      <c r="A202" s="52"/>
      <c r="B202" s="28" t="str">
        <f>IF($A202="","",IFERROR(VLOOKUP($A202,'Resumo por docente'!$A$8:$B$57,2,FALSE),""))</f>
        <v/>
      </c>
      <c r="C202" s="31"/>
      <c r="D202" s="52"/>
      <c r="E202" s="52"/>
      <c r="F202" s="38"/>
      <c r="G202" s="38"/>
      <c r="H202" s="41"/>
      <c r="I202" s="41"/>
      <c r="J202" s="41"/>
      <c r="K202" s="47" t="str">
        <f t="shared" si="5"/>
        <v/>
      </c>
      <c r="L202" s="47" t="str">
        <f t="shared" si="7"/>
        <v/>
      </c>
      <c r="M202" s="41"/>
      <c r="N202" s="38"/>
      <c r="O202" s="38"/>
      <c r="P202" s="38"/>
    </row>
    <row r="203" ht="15.75" customHeight="1">
      <c r="A203" s="52"/>
      <c r="B203" s="28" t="str">
        <f>IF($A203="","",IFERROR(VLOOKUP($A203,'Resumo por docente'!$A$8:$B$57,2,FALSE),""))</f>
        <v/>
      </c>
      <c r="C203" s="31"/>
      <c r="D203" s="52"/>
      <c r="E203" s="52"/>
      <c r="F203" s="38"/>
      <c r="G203" s="38"/>
      <c r="H203" s="41"/>
      <c r="I203" s="41"/>
      <c r="J203" s="41"/>
      <c r="K203" s="47" t="str">
        <f t="shared" si="5"/>
        <v/>
      </c>
      <c r="L203" s="47" t="str">
        <f t="shared" si="7"/>
        <v/>
      </c>
      <c r="M203" s="41"/>
      <c r="N203" s="38"/>
      <c r="O203" s="38"/>
      <c r="P203" s="38"/>
    </row>
    <row r="204" ht="15.75" customHeight="1">
      <c r="A204" s="52"/>
      <c r="B204" s="28" t="str">
        <f>IF($A204="","",IFERROR(VLOOKUP($A204,'Resumo por docente'!$A$8:$B$57,2,FALSE),""))</f>
        <v/>
      </c>
      <c r="C204" s="31"/>
      <c r="D204" s="52"/>
      <c r="E204" s="52"/>
      <c r="F204" s="38"/>
      <c r="G204" s="38"/>
      <c r="H204" s="41"/>
      <c r="I204" s="41"/>
      <c r="J204" s="41"/>
      <c r="K204" s="47" t="str">
        <f t="shared" si="5"/>
        <v/>
      </c>
      <c r="L204" s="47" t="str">
        <f t="shared" si="7"/>
        <v/>
      </c>
      <c r="M204" s="41"/>
      <c r="N204" s="38"/>
      <c r="O204" s="38"/>
      <c r="P204" s="38"/>
    </row>
    <row r="205" ht="15.75" customHeight="1">
      <c r="A205" s="52"/>
      <c r="B205" s="28" t="str">
        <f>IF($A205="","",IFERROR(VLOOKUP($A205,'Resumo por docente'!$A$8:$B$57,2,FALSE),""))</f>
        <v/>
      </c>
      <c r="C205" s="31"/>
      <c r="D205" s="52"/>
      <c r="E205" s="52"/>
      <c r="F205" s="38"/>
      <c r="G205" s="38"/>
      <c r="H205" s="41"/>
      <c r="I205" s="41"/>
      <c r="J205" s="41"/>
      <c r="K205" s="47" t="str">
        <f t="shared" si="5"/>
        <v/>
      </c>
      <c r="L205" s="47" t="str">
        <f t="shared" si="7"/>
        <v/>
      </c>
      <c r="M205" s="41"/>
      <c r="N205" s="38"/>
      <c r="O205" s="38"/>
      <c r="P205" s="38"/>
    </row>
    <row r="206" ht="15.75" customHeight="1">
      <c r="A206" s="52"/>
      <c r="B206" s="28" t="str">
        <f>IF($A206="","",IFERROR(VLOOKUP($A206,'Resumo por docente'!$A$8:$B$57,2,FALSE),""))</f>
        <v/>
      </c>
      <c r="C206" s="31"/>
      <c r="D206" s="52"/>
      <c r="E206" s="52"/>
      <c r="F206" s="38"/>
      <c r="G206" s="38"/>
      <c r="H206" s="41"/>
      <c r="I206" s="41"/>
      <c r="J206" s="41"/>
      <c r="K206" s="47" t="str">
        <f t="shared" si="5"/>
        <v/>
      </c>
      <c r="L206" s="47" t="str">
        <f t="shared" si="7"/>
        <v/>
      </c>
      <c r="M206" s="41"/>
      <c r="N206" s="38"/>
      <c r="O206" s="38"/>
      <c r="P206" s="38"/>
    </row>
    <row r="207" ht="15.75" customHeight="1">
      <c r="A207" s="52"/>
      <c r="B207" s="28" t="str">
        <f>IF($A207="","",IFERROR(VLOOKUP($A207,'Resumo por docente'!$A$8:$B$57,2,FALSE),""))</f>
        <v/>
      </c>
      <c r="C207" s="31"/>
      <c r="D207" s="52"/>
      <c r="E207" s="52"/>
      <c r="F207" s="38"/>
      <c r="G207" s="38"/>
      <c r="H207" s="41"/>
      <c r="I207" s="41"/>
      <c r="J207" s="41"/>
      <c r="K207" s="47" t="str">
        <f t="shared" si="5"/>
        <v/>
      </c>
      <c r="L207" s="47" t="str">
        <f t="shared" si="7"/>
        <v/>
      </c>
      <c r="M207" s="41"/>
      <c r="N207" s="38"/>
      <c r="O207" s="38"/>
      <c r="P207" s="38"/>
    </row>
    <row r="208" ht="15.75" customHeight="1">
      <c r="A208" s="52"/>
      <c r="B208" s="28" t="str">
        <f>IF($A208="","",IFERROR(VLOOKUP($A208,'Resumo por docente'!$A$8:$B$57,2,FALSE),""))</f>
        <v/>
      </c>
      <c r="C208" s="31"/>
      <c r="D208" s="52"/>
      <c r="E208" s="52"/>
      <c r="F208" s="38"/>
      <c r="G208" s="38"/>
      <c r="H208" s="41"/>
      <c r="I208" s="41"/>
      <c r="J208" s="41"/>
      <c r="K208" s="47" t="str">
        <f t="shared" si="5"/>
        <v/>
      </c>
      <c r="L208" s="47" t="str">
        <f t="shared" si="7"/>
        <v/>
      </c>
      <c r="M208" s="41"/>
      <c r="N208" s="38"/>
      <c r="O208" s="38"/>
      <c r="P208" s="38"/>
    </row>
    <row r="209" ht="15.75" customHeight="1">
      <c r="A209" s="52"/>
      <c r="B209" s="28" t="str">
        <f>IF($A209="","",IFERROR(VLOOKUP($A209,'Resumo por docente'!$A$8:$B$57,2,FALSE),""))</f>
        <v/>
      </c>
      <c r="C209" s="31"/>
      <c r="D209" s="52"/>
      <c r="E209" s="52"/>
      <c r="F209" s="38"/>
      <c r="G209" s="38"/>
      <c r="H209" s="41"/>
      <c r="I209" s="41"/>
      <c r="J209" s="41"/>
      <c r="K209" s="47" t="str">
        <f t="shared" si="5"/>
        <v/>
      </c>
      <c r="L209" s="47" t="str">
        <f t="shared" si="7"/>
        <v/>
      </c>
      <c r="M209" s="41"/>
      <c r="N209" s="38"/>
      <c r="O209" s="38"/>
      <c r="P209" s="38"/>
    </row>
    <row r="210" ht="15.75" customHeight="1">
      <c r="A210" s="52"/>
      <c r="B210" s="28" t="str">
        <f>IF($A210="","",IFERROR(VLOOKUP($A210,'Resumo por docente'!$A$8:$B$57,2,FALSE),""))</f>
        <v/>
      </c>
      <c r="C210" s="31"/>
      <c r="D210" s="52"/>
      <c r="E210" s="52"/>
      <c r="F210" s="38"/>
      <c r="G210" s="38"/>
      <c r="H210" s="41"/>
      <c r="I210" s="41"/>
      <c r="J210" s="41"/>
      <c r="K210" s="47" t="str">
        <f t="shared" si="5"/>
        <v/>
      </c>
      <c r="L210" s="47" t="str">
        <f t="shared" si="7"/>
        <v/>
      </c>
      <c r="M210" s="41"/>
      <c r="N210" s="38"/>
      <c r="O210" s="38"/>
      <c r="P210" s="38"/>
    </row>
    <row r="211" ht="15.75" customHeight="1">
      <c r="A211" s="52"/>
      <c r="B211" s="28" t="str">
        <f>IF($A211="","",IFERROR(VLOOKUP($A211,'Resumo por docente'!$A$8:$B$57,2,FALSE),""))</f>
        <v/>
      </c>
      <c r="C211" s="31"/>
      <c r="D211" s="52"/>
      <c r="E211" s="52"/>
      <c r="F211" s="38"/>
      <c r="G211" s="38"/>
      <c r="H211" s="41"/>
      <c r="I211" s="41"/>
      <c r="J211" s="41"/>
      <c r="K211" s="47" t="str">
        <f t="shared" si="5"/>
        <v/>
      </c>
      <c r="L211" s="47" t="str">
        <f t="shared" si="7"/>
        <v/>
      </c>
      <c r="M211" s="41"/>
      <c r="N211" s="38"/>
      <c r="O211" s="38"/>
      <c r="P211" s="38"/>
    </row>
    <row r="212" ht="15.75" customHeight="1">
      <c r="A212" s="52"/>
      <c r="B212" s="28" t="str">
        <f>IF($A212="","",IFERROR(VLOOKUP($A212,'Resumo por docente'!$A$8:$B$57,2,FALSE),""))</f>
        <v/>
      </c>
      <c r="C212" s="31"/>
      <c r="D212" s="52"/>
      <c r="E212" s="52"/>
      <c r="F212" s="38"/>
      <c r="G212" s="38"/>
      <c r="H212" s="41"/>
      <c r="I212" s="41"/>
      <c r="J212" s="41"/>
      <c r="K212" s="47" t="str">
        <f t="shared" si="5"/>
        <v/>
      </c>
      <c r="L212" s="47" t="str">
        <f t="shared" si="7"/>
        <v/>
      </c>
      <c r="M212" s="41"/>
      <c r="N212" s="38"/>
      <c r="O212" s="38"/>
      <c r="P212" s="38"/>
    </row>
    <row r="213" ht="15.75" customHeight="1">
      <c r="A213" s="52"/>
      <c r="B213" s="28" t="str">
        <f>IF($A213="","",IFERROR(VLOOKUP($A213,'Resumo por docente'!$A$8:$B$57,2,FALSE),""))</f>
        <v/>
      </c>
      <c r="C213" s="31"/>
      <c r="D213" s="52"/>
      <c r="E213" s="52"/>
      <c r="F213" s="38"/>
      <c r="G213" s="38"/>
      <c r="H213" s="41"/>
      <c r="I213" s="41"/>
      <c r="J213" s="41"/>
      <c r="K213" s="47" t="str">
        <f t="shared" si="5"/>
        <v/>
      </c>
      <c r="L213" s="47" t="str">
        <f t="shared" si="7"/>
        <v/>
      </c>
      <c r="M213" s="41"/>
      <c r="N213" s="38"/>
      <c r="O213" s="38"/>
      <c r="P213" s="38"/>
    </row>
    <row r="214" ht="15.75" customHeight="1">
      <c r="A214" s="52"/>
      <c r="B214" s="28" t="str">
        <f>IF($A214="","",IFERROR(VLOOKUP($A214,'Resumo por docente'!$A$8:$B$57,2,FALSE),""))</f>
        <v/>
      </c>
      <c r="C214" s="31"/>
      <c r="D214" s="52"/>
      <c r="E214" s="52"/>
      <c r="F214" s="38"/>
      <c r="G214" s="38"/>
      <c r="H214" s="41"/>
      <c r="I214" s="41"/>
      <c r="J214" s="41"/>
      <c r="K214" s="47" t="str">
        <f t="shared" si="5"/>
        <v/>
      </c>
      <c r="L214" s="47" t="str">
        <f t="shared" si="7"/>
        <v/>
      </c>
      <c r="M214" s="41"/>
      <c r="N214" s="38"/>
      <c r="O214" s="38"/>
      <c r="P214" s="38"/>
    </row>
    <row r="215" ht="15.75" customHeight="1">
      <c r="A215" s="52"/>
      <c r="B215" s="28" t="str">
        <f>IF($A215="","",IFERROR(VLOOKUP($A215,'Resumo por docente'!$A$8:$B$57,2,FALSE),""))</f>
        <v/>
      </c>
      <c r="C215" s="31"/>
      <c r="D215" s="52"/>
      <c r="E215" s="52"/>
      <c r="F215" s="38"/>
      <c r="G215" s="38"/>
      <c r="H215" s="41"/>
      <c r="I215" s="41"/>
      <c r="J215" s="41"/>
      <c r="K215" s="47" t="str">
        <f t="shared" si="5"/>
        <v/>
      </c>
      <c r="L215" s="47" t="str">
        <f t="shared" si="7"/>
        <v/>
      </c>
      <c r="M215" s="41"/>
      <c r="N215" s="38"/>
      <c r="O215" s="38"/>
      <c r="P215" s="38"/>
    </row>
    <row r="216" ht="15.75" customHeight="1">
      <c r="A216" s="52"/>
      <c r="B216" s="28" t="str">
        <f>IF($A216="","",IFERROR(VLOOKUP($A216,'Resumo por docente'!$A$8:$B$57,2,FALSE),""))</f>
        <v/>
      </c>
      <c r="C216" s="31"/>
      <c r="D216" s="52"/>
      <c r="E216" s="52"/>
      <c r="F216" s="38"/>
      <c r="G216" s="38"/>
      <c r="H216" s="41"/>
      <c r="I216" s="41"/>
      <c r="J216" s="41"/>
      <c r="K216" s="47" t="str">
        <f t="shared" si="5"/>
        <v/>
      </c>
      <c r="L216" s="47" t="str">
        <f t="shared" si="7"/>
        <v/>
      </c>
      <c r="M216" s="41"/>
      <c r="N216" s="38"/>
      <c r="O216" s="38"/>
      <c r="P216" s="38"/>
    </row>
    <row r="217" ht="15.75" customHeight="1">
      <c r="A217" s="52"/>
      <c r="B217" s="28" t="str">
        <f>IF($A217="","",IFERROR(VLOOKUP($A217,'Resumo por docente'!$A$8:$B$57,2,FALSE),""))</f>
        <v/>
      </c>
      <c r="C217" s="31"/>
      <c r="D217" s="52"/>
      <c r="E217" s="52"/>
      <c r="F217" s="38"/>
      <c r="G217" s="38"/>
      <c r="H217" s="41"/>
      <c r="I217" s="41"/>
      <c r="J217" s="41"/>
      <c r="K217" s="47" t="str">
        <f t="shared" si="5"/>
        <v/>
      </c>
      <c r="L217" s="47" t="str">
        <f t="shared" si="7"/>
        <v/>
      </c>
      <c r="M217" s="41"/>
      <c r="N217" s="38"/>
      <c r="O217" s="38"/>
      <c r="P217" s="38"/>
    </row>
    <row r="218" ht="15.75" customHeight="1">
      <c r="A218" s="52"/>
      <c r="B218" s="28" t="str">
        <f>IF($A218="","",IFERROR(VLOOKUP($A218,'Resumo por docente'!$A$8:$B$57,2,FALSE),""))</f>
        <v/>
      </c>
      <c r="C218" s="31"/>
      <c r="D218" s="52"/>
      <c r="E218" s="52"/>
      <c r="F218" s="38"/>
      <c r="G218" s="38"/>
      <c r="H218" s="41"/>
      <c r="I218" s="41"/>
      <c r="J218" s="41"/>
      <c r="K218" s="47" t="str">
        <f t="shared" si="5"/>
        <v/>
      </c>
      <c r="L218" s="47" t="str">
        <f t="shared" si="7"/>
        <v/>
      </c>
      <c r="M218" s="41"/>
      <c r="N218" s="38"/>
      <c r="O218" s="38"/>
      <c r="P218" s="38"/>
    </row>
    <row r="219" ht="15.75" customHeight="1">
      <c r="A219" s="52"/>
      <c r="B219" s="28" t="str">
        <f>IF($A219="","",IFERROR(VLOOKUP($A219,'Resumo por docente'!$A$8:$B$57,2,FALSE),""))</f>
        <v/>
      </c>
      <c r="C219" s="31"/>
      <c r="D219" s="52"/>
      <c r="E219" s="52"/>
      <c r="F219" s="38"/>
      <c r="G219" s="38"/>
      <c r="H219" s="41"/>
      <c r="I219" s="41"/>
      <c r="J219" s="41"/>
      <c r="K219" s="47" t="str">
        <f t="shared" si="5"/>
        <v/>
      </c>
      <c r="L219" s="47" t="str">
        <f t="shared" si="7"/>
        <v/>
      </c>
      <c r="M219" s="41"/>
      <c r="N219" s="38"/>
      <c r="O219" s="38"/>
      <c r="P219" s="38"/>
    </row>
    <row r="220" ht="15.75" customHeight="1">
      <c r="A220" s="52"/>
      <c r="B220" s="28" t="str">
        <f>IF($A220="","",IFERROR(VLOOKUP($A220,'Resumo por docente'!$A$8:$B$57,2,FALSE),""))</f>
        <v/>
      </c>
      <c r="C220" s="31"/>
      <c r="D220" s="52"/>
      <c r="E220" s="52"/>
      <c r="F220" s="38"/>
      <c r="G220" s="38"/>
      <c r="H220" s="41"/>
      <c r="I220" s="41"/>
      <c r="J220" s="41"/>
      <c r="K220" s="47" t="str">
        <f t="shared" si="5"/>
        <v/>
      </c>
      <c r="L220" s="47" t="str">
        <f t="shared" si="7"/>
        <v/>
      </c>
      <c r="M220" s="41"/>
      <c r="N220" s="38"/>
      <c r="O220" s="38"/>
      <c r="P220" s="38"/>
    </row>
    <row r="221" ht="15.75" customHeight="1">
      <c r="A221" s="52"/>
      <c r="B221" s="28" t="str">
        <f>IF($A221="","",IFERROR(VLOOKUP($A221,'Resumo por docente'!$A$8:$B$57,2,FALSE),""))</f>
        <v/>
      </c>
      <c r="C221" s="31"/>
      <c r="D221" s="52"/>
      <c r="E221" s="52"/>
      <c r="F221" s="38"/>
      <c r="G221" s="38"/>
      <c r="H221" s="41"/>
      <c r="I221" s="41"/>
      <c r="J221" s="41"/>
      <c r="K221" s="47" t="str">
        <f t="shared" si="5"/>
        <v/>
      </c>
      <c r="L221" s="47" t="str">
        <f t="shared" si="7"/>
        <v/>
      </c>
      <c r="M221" s="41"/>
      <c r="N221" s="38"/>
      <c r="O221" s="38"/>
      <c r="P221" s="38"/>
    </row>
    <row r="222" ht="15.75" customHeight="1">
      <c r="A222" s="52"/>
      <c r="B222" s="28" t="str">
        <f>IF($A222="","",IFERROR(VLOOKUP($A222,'Resumo por docente'!$A$8:$B$57,2,FALSE),""))</f>
        <v/>
      </c>
      <c r="C222" s="31"/>
      <c r="D222" s="52"/>
      <c r="E222" s="52"/>
      <c r="F222" s="38"/>
      <c r="G222" s="38"/>
      <c r="H222" s="41"/>
      <c r="I222" s="41"/>
      <c r="J222" s="41"/>
      <c r="K222" s="47" t="str">
        <f t="shared" si="5"/>
        <v/>
      </c>
      <c r="L222" s="47" t="str">
        <f t="shared" si="7"/>
        <v/>
      </c>
      <c r="M222" s="41"/>
      <c r="N222" s="38"/>
      <c r="O222" s="38"/>
      <c r="P222" s="38"/>
    </row>
    <row r="223" ht="15.75" customHeight="1">
      <c r="A223" s="52"/>
      <c r="B223" s="28" t="str">
        <f>IF($A223="","",IFERROR(VLOOKUP($A223,'Resumo por docente'!$A$8:$B$57,2,FALSE),""))</f>
        <v/>
      </c>
      <c r="C223" s="31"/>
      <c r="D223" s="52"/>
      <c r="E223" s="52"/>
      <c r="F223" s="38"/>
      <c r="G223" s="38"/>
      <c r="H223" s="41"/>
      <c r="I223" s="41"/>
      <c r="J223" s="41"/>
      <c r="K223" s="47" t="str">
        <f t="shared" si="5"/>
        <v/>
      </c>
      <c r="L223" s="47" t="str">
        <f t="shared" si="7"/>
        <v/>
      </c>
      <c r="M223" s="41"/>
      <c r="N223" s="38"/>
      <c r="O223" s="38"/>
      <c r="P223" s="38"/>
    </row>
    <row r="224" ht="15.75" customHeight="1">
      <c r="A224" s="52"/>
      <c r="B224" s="28" t="str">
        <f>IF($A224="","",IFERROR(VLOOKUP($A224,'Resumo por docente'!$A$8:$B$57,2,FALSE),""))</f>
        <v/>
      </c>
      <c r="C224" s="31"/>
      <c r="D224" s="52"/>
      <c r="E224" s="52"/>
      <c r="F224" s="38"/>
      <c r="G224" s="38"/>
      <c r="H224" s="41"/>
      <c r="I224" s="41"/>
      <c r="J224" s="41"/>
      <c r="K224" s="47" t="str">
        <f t="shared" si="5"/>
        <v/>
      </c>
      <c r="L224" s="47" t="str">
        <f t="shared" si="7"/>
        <v/>
      </c>
      <c r="M224" s="41"/>
      <c r="N224" s="38"/>
      <c r="O224" s="38"/>
      <c r="P224" s="38"/>
    </row>
    <row r="225" ht="15.75" customHeight="1">
      <c r="A225" s="52"/>
      <c r="B225" s="28" t="str">
        <f>IF($A225="","",IFERROR(VLOOKUP($A225,'Resumo por docente'!$A$8:$B$57,2,FALSE),""))</f>
        <v/>
      </c>
      <c r="C225" s="31"/>
      <c r="D225" s="52"/>
      <c r="E225" s="52"/>
      <c r="F225" s="38"/>
      <c r="G225" s="38"/>
      <c r="H225" s="41"/>
      <c r="I225" s="41"/>
      <c r="J225" s="41"/>
      <c r="K225" s="47" t="str">
        <f t="shared" si="5"/>
        <v/>
      </c>
      <c r="L225" s="47" t="str">
        <f t="shared" si="7"/>
        <v/>
      </c>
      <c r="M225" s="41"/>
      <c r="N225" s="38"/>
      <c r="O225" s="38"/>
      <c r="P225" s="38"/>
    </row>
    <row r="226" ht="15.75" customHeight="1">
      <c r="A226" s="52"/>
      <c r="B226" s="28" t="str">
        <f>IF($A226="","",IFERROR(VLOOKUP($A226,'Resumo por docente'!$A$8:$B$57,2,FALSE),""))</f>
        <v/>
      </c>
      <c r="C226" s="31"/>
      <c r="D226" s="52"/>
      <c r="E226" s="52"/>
      <c r="F226" s="38"/>
      <c r="G226" s="38"/>
      <c r="H226" s="41"/>
      <c r="I226" s="41"/>
      <c r="J226" s="41"/>
      <c r="K226" s="47" t="str">
        <f t="shared" si="5"/>
        <v/>
      </c>
      <c r="L226" s="47" t="str">
        <f t="shared" si="7"/>
        <v/>
      </c>
      <c r="M226" s="41"/>
      <c r="N226" s="38"/>
      <c r="O226" s="38"/>
      <c r="P226" s="38"/>
    </row>
    <row r="227" ht="15.75" customHeight="1">
      <c r="A227" s="52"/>
      <c r="B227" s="28" t="str">
        <f>IF($A227="","",IFERROR(VLOOKUP($A227,'Resumo por docente'!$A$8:$B$57,2,FALSE),""))</f>
        <v/>
      </c>
      <c r="C227" s="31"/>
      <c r="D227" s="52"/>
      <c r="E227" s="52"/>
      <c r="F227" s="38"/>
      <c r="G227" s="38"/>
      <c r="H227" s="41"/>
      <c r="I227" s="41"/>
      <c r="J227" s="41"/>
      <c r="K227" s="47" t="str">
        <f t="shared" si="5"/>
        <v/>
      </c>
      <c r="L227" s="47" t="str">
        <f t="shared" si="7"/>
        <v/>
      </c>
      <c r="M227" s="41"/>
      <c r="N227" s="38"/>
      <c r="O227" s="38"/>
      <c r="P227" s="38"/>
    </row>
    <row r="228" ht="15.75" customHeight="1">
      <c r="A228" s="52"/>
      <c r="B228" s="28" t="str">
        <f>IF($A228="","",IFERROR(VLOOKUP($A228,'Resumo por docente'!$A$8:$B$57,2,FALSE),""))</f>
        <v/>
      </c>
      <c r="C228" s="31"/>
      <c r="D228" s="52"/>
      <c r="E228" s="52"/>
      <c r="F228" s="38"/>
      <c r="G228" s="38"/>
      <c r="H228" s="41"/>
      <c r="I228" s="41"/>
      <c r="J228" s="41"/>
      <c r="K228" s="47" t="str">
        <f t="shared" si="5"/>
        <v/>
      </c>
      <c r="L228" s="47" t="str">
        <f t="shared" si="7"/>
        <v/>
      </c>
      <c r="M228" s="41"/>
      <c r="N228" s="38"/>
      <c r="O228" s="38"/>
      <c r="P228" s="38"/>
    </row>
    <row r="229" ht="15.75" customHeight="1">
      <c r="A229" s="52"/>
      <c r="B229" s="28" t="str">
        <f>IF($A229="","",IFERROR(VLOOKUP($A229,'Resumo por docente'!$A$8:$B$57,2,FALSE),""))</f>
        <v/>
      </c>
      <c r="C229" s="31"/>
      <c r="D229" s="52"/>
      <c r="E229" s="52"/>
      <c r="F229" s="38"/>
      <c r="G229" s="38"/>
      <c r="H229" s="41"/>
      <c r="I229" s="41"/>
      <c r="J229" s="41"/>
      <c r="K229" s="47" t="str">
        <f t="shared" si="5"/>
        <v/>
      </c>
      <c r="L229" s="47" t="str">
        <f t="shared" si="7"/>
        <v/>
      </c>
      <c r="M229" s="41"/>
      <c r="N229" s="38"/>
      <c r="O229" s="38"/>
      <c r="P229" s="38"/>
    </row>
    <row r="230" ht="15.75" customHeight="1">
      <c r="A230" s="52"/>
      <c r="B230" s="28" t="str">
        <f>IF($A230="","",IFERROR(VLOOKUP($A230,'Resumo por docente'!$A$8:$B$57,2,FALSE),""))</f>
        <v/>
      </c>
      <c r="C230" s="31"/>
      <c r="D230" s="52"/>
      <c r="E230" s="52"/>
      <c r="F230" s="38"/>
      <c r="G230" s="38"/>
      <c r="H230" s="41"/>
      <c r="I230" s="41"/>
      <c r="J230" s="41"/>
      <c r="K230" s="47" t="str">
        <f t="shared" si="5"/>
        <v/>
      </c>
      <c r="L230" s="47" t="str">
        <f t="shared" si="7"/>
        <v/>
      </c>
      <c r="M230" s="41"/>
      <c r="N230" s="38"/>
      <c r="O230" s="38"/>
      <c r="P230" s="38"/>
    </row>
    <row r="231" ht="15.75" customHeight="1">
      <c r="A231" s="52"/>
      <c r="B231" s="28" t="str">
        <f>IF($A231="","",IFERROR(VLOOKUP($A231,'Resumo por docente'!$A$8:$B$57,2,FALSE),""))</f>
        <v/>
      </c>
      <c r="C231" s="31"/>
      <c r="D231" s="52"/>
      <c r="E231" s="52"/>
      <c r="F231" s="38"/>
      <c r="G231" s="38"/>
      <c r="H231" s="41"/>
      <c r="I231" s="41"/>
      <c r="J231" s="41"/>
      <c r="K231" s="47" t="str">
        <f t="shared" si="5"/>
        <v/>
      </c>
      <c r="L231" s="47" t="str">
        <f t="shared" si="7"/>
        <v/>
      </c>
      <c r="M231" s="41"/>
      <c r="N231" s="38"/>
      <c r="O231" s="38"/>
      <c r="P231" s="38"/>
    </row>
    <row r="232" ht="15.75" customHeight="1">
      <c r="A232" s="52"/>
      <c r="B232" s="28" t="str">
        <f>IF($A232="","",IFERROR(VLOOKUP($A232,'Resumo por docente'!$A$8:$B$57,2,FALSE),""))</f>
        <v/>
      </c>
      <c r="C232" s="31"/>
      <c r="D232" s="52"/>
      <c r="E232" s="52"/>
      <c r="F232" s="38"/>
      <c r="G232" s="38"/>
      <c r="H232" s="41"/>
      <c r="I232" s="41"/>
      <c r="J232" s="41"/>
      <c r="K232" s="47" t="str">
        <f t="shared" si="5"/>
        <v/>
      </c>
      <c r="L232" s="47" t="str">
        <f t="shared" si="7"/>
        <v/>
      </c>
      <c r="M232" s="41"/>
      <c r="N232" s="38"/>
      <c r="O232" s="38"/>
      <c r="P232" s="38"/>
    </row>
    <row r="233" ht="15.75" customHeight="1">
      <c r="A233" s="52"/>
      <c r="B233" s="28" t="str">
        <f>IF($A233="","",IFERROR(VLOOKUP($A233,'Resumo por docente'!$A$8:$B$57,2,FALSE),""))</f>
        <v/>
      </c>
      <c r="C233" s="31"/>
      <c r="D233" s="52"/>
      <c r="E233" s="52"/>
      <c r="F233" s="38"/>
      <c r="G233" s="38"/>
      <c r="H233" s="41"/>
      <c r="I233" s="41"/>
      <c r="J233" s="41"/>
      <c r="K233" s="47" t="str">
        <f t="shared" si="5"/>
        <v/>
      </c>
      <c r="L233" s="47" t="str">
        <f t="shared" si="7"/>
        <v/>
      </c>
      <c r="M233" s="41"/>
      <c r="N233" s="38"/>
      <c r="O233" s="38"/>
      <c r="P233" s="38"/>
    </row>
    <row r="234" ht="15.75" customHeight="1">
      <c r="A234" s="52"/>
      <c r="B234" s="28" t="str">
        <f>IF($A234="","",IFERROR(VLOOKUP($A234,'Resumo por docente'!$A$8:$B$57,2,FALSE),""))</f>
        <v/>
      </c>
      <c r="C234" s="31"/>
      <c r="D234" s="52"/>
      <c r="E234" s="52"/>
      <c r="F234" s="38"/>
      <c r="G234" s="38"/>
      <c r="H234" s="41"/>
      <c r="I234" s="41"/>
      <c r="J234" s="41"/>
      <c r="K234" s="47" t="str">
        <f t="shared" si="5"/>
        <v/>
      </c>
      <c r="L234" s="47" t="str">
        <f t="shared" si="7"/>
        <v/>
      </c>
      <c r="M234" s="41"/>
      <c r="N234" s="38"/>
      <c r="O234" s="38"/>
      <c r="P234" s="38"/>
    </row>
    <row r="235" ht="15.75" customHeight="1">
      <c r="A235" s="52"/>
      <c r="B235" s="28" t="str">
        <f>IF($A235="","",IFERROR(VLOOKUP($A235,'Resumo por docente'!$A$8:$B$57,2,FALSE),""))</f>
        <v/>
      </c>
      <c r="C235" s="31"/>
      <c r="D235" s="52"/>
      <c r="E235" s="52"/>
      <c r="F235" s="38"/>
      <c r="G235" s="38"/>
      <c r="H235" s="41"/>
      <c r="I235" s="41"/>
      <c r="J235" s="41"/>
      <c r="K235" s="47" t="str">
        <f t="shared" si="5"/>
        <v/>
      </c>
      <c r="L235" s="47" t="str">
        <f t="shared" si="7"/>
        <v/>
      </c>
      <c r="M235" s="41"/>
      <c r="N235" s="38"/>
      <c r="O235" s="38"/>
      <c r="P235" s="38"/>
    </row>
    <row r="236" ht="15.75" customHeight="1">
      <c r="A236" s="52"/>
      <c r="B236" s="28" t="str">
        <f>IF($A236="","",IFERROR(VLOOKUP($A236,'Resumo por docente'!$A$8:$B$57,2,FALSE),""))</f>
        <v/>
      </c>
      <c r="C236" s="31"/>
      <c r="D236" s="52"/>
      <c r="E236" s="52"/>
      <c r="F236" s="38"/>
      <c r="G236" s="38"/>
      <c r="H236" s="41"/>
      <c r="I236" s="41"/>
      <c r="J236" s="41"/>
      <c r="K236" s="47" t="str">
        <f t="shared" si="5"/>
        <v/>
      </c>
      <c r="L236" s="47" t="str">
        <f t="shared" si="7"/>
        <v/>
      </c>
      <c r="M236" s="41"/>
      <c r="N236" s="38"/>
      <c r="O236" s="38"/>
      <c r="P236" s="38"/>
    </row>
    <row r="237" ht="15.75" customHeight="1">
      <c r="A237" s="52"/>
      <c r="B237" s="28" t="str">
        <f>IF($A237="","",IFERROR(VLOOKUP($A237,'Resumo por docente'!$A$8:$B$57,2,FALSE),""))</f>
        <v/>
      </c>
      <c r="C237" s="31"/>
      <c r="D237" s="52"/>
      <c r="E237" s="52"/>
      <c r="F237" s="38"/>
      <c r="G237" s="38"/>
      <c r="H237" s="41"/>
      <c r="I237" s="41"/>
      <c r="J237" s="41"/>
      <c r="K237" s="47" t="str">
        <f t="shared" si="5"/>
        <v/>
      </c>
      <c r="L237" s="47" t="str">
        <f t="shared" si="7"/>
        <v/>
      </c>
      <c r="M237" s="41"/>
      <c r="N237" s="38"/>
      <c r="O237" s="38"/>
      <c r="P237" s="38"/>
    </row>
    <row r="238" ht="15.75" customHeight="1">
      <c r="A238" s="52"/>
      <c r="B238" s="28" t="str">
        <f>IF($A238="","",IFERROR(VLOOKUP($A238,'Resumo por docente'!$A$8:$B$57,2,FALSE),""))</f>
        <v/>
      </c>
      <c r="C238" s="31"/>
      <c r="D238" s="52"/>
      <c r="E238" s="52"/>
      <c r="F238" s="38"/>
      <c r="G238" s="38"/>
      <c r="H238" s="41"/>
      <c r="I238" s="41"/>
      <c r="J238" s="41"/>
      <c r="K238" s="47" t="str">
        <f t="shared" si="5"/>
        <v/>
      </c>
      <c r="L238" s="47" t="str">
        <f t="shared" si="7"/>
        <v/>
      </c>
      <c r="M238" s="41"/>
      <c r="N238" s="38"/>
      <c r="O238" s="38"/>
      <c r="P238" s="38"/>
    </row>
    <row r="239" ht="15.75" customHeight="1">
      <c r="A239" s="52"/>
      <c r="B239" s="28" t="str">
        <f>IF($A239="","",IFERROR(VLOOKUP($A239,'Resumo por docente'!$A$8:$B$57,2,FALSE),""))</f>
        <v/>
      </c>
      <c r="C239" s="31"/>
      <c r="D239" s="52"/>
      <c r="E239" s="52"/>
      <c r="F239" s="38"/>
      <c r="G239" s="38"/>
      <c r="H239" s="41"/>
      <c r="I239" s="41"/>
      <c r="J239" s="41"/>
      <c r="K239" s="47" t="str">
        <f t="shared" si="5"/>
        <v/>
      </c>
      <c r="L239" s="47" t="str">
        <f t="shared" si="7"/>
        <v/>
      </c>
      <c r="M239" s="41"/>
      <c r="N239" s="38"/>
      <c r="O239" s="38"/>
      <c r="P239" s="38"/>
    </row>
    <row r="240" ht="15.75" customHeight="1">
      <c r="A240" s="52"/>
      <c r="B240" s="28" t="str">
        <f>IF($A240="","",IFERROR(VLOOKUP($A240,'Resumo por docente'!$A$8:$B$57,2,FALSE),""))</f>
        <v/>
      </c>
      <c r="C240" s="31"/>
      <c r="D240" s="52"/>
      <c r="E240" s="52"/>
      <c r="F240" s="38"/>
      <c r="G240" s="38"/>
      <c r="H240" s="41"/>
      <c r="I240" s="41"/>
      <c r="J240" s="41"/>
      <c r="K240" s="47" t="str">
        <f t="shared" si="5"/>
        <v/>
      </c>
      <c r="L240" s="47" t="str">
        <f t="shared" si="7"/>
        <v/>
      </c>
      <c r="M240" s="41"/>
      <c r="N240" s="38"/>
      <c r="O240" s="38"/>
      <c r="P240" s="38"/>
    </row>
    <row r="241" ht="15.75" customHeight="1">
      <c r="A241" s="52"/>
      <c r="B241" s="28" t="str">
        <f>IF($A241="","",IFERROR(VLOOKUP($A241,'Resumo por docente'!$A$8:$B$57,2,FALSE),""))</f>
        <v/>
      </c>
      <c r="C241" s="31"/>
      <c r="D241" s="52"/>
      <c r="E241" s="52"/>
      <c r="F241" s="38"/>
      <c r="G241" s="38"/>
      <c r="H241" s="41"/>
      <c r="I241" s="41"/>
      <c r="J241" s="41"/>
      <c r="K241" s="47" t="str">
        <f t="shared" si="5"/>
        <v/>
      </c>
      <c r="L241" s="47" t="str">
        <f t="shared" si="7"/>
        <v/>
      </c>
      <c r="M241" s="41"/>
      <c r="N241" s="38"/>
      <c r="O241" s="38"/>
      <c r="P241" s="38"/>
    </row>
    <row r="242" ht="15.75" customHeight="1">
      <c r="A242" s="52"/>
      <c r="B242" s="28" t="str">
        <f>IF($A242="","",IFERROR(VLOOKUP($A242,'Resumo por docente'!$A$8:$B$57,2,FALSE),""))</f>
        <v/>
      </c>
      <c r="C242" s="31"/>
      <c r="D242" s="52"/>
      <c r="E242" s="52"/>
      <c r="F242" s="38"/>
      <c r="G242" s="38"/>
      <c r="H242" s="41"/>
      <c r="I242" s="41"/>
      <c r="J242" s="41"/>
      <c r="K242" s="47" t="str">
        <f t="shared" si="5"/>
        <v/>
      </c>
      <c r="L242" s="47" t="str">
        <f t="shared" si="7"/>
        <v/>
      </c>
      <c r="M242" s="41"/>
      <c r="N242" s="38"/>
      <c r="O242" s="38"/>
      <c r="P242" s="38"/>
    </row>
    <row r="243" ht="15.75" customHeight="1">
      <c r="A243" s="52"/>
      <c r="B243" s="28" t="str">
        <f>IF($A243="","",IFERROR(VLOOKUP($A243,'Resumo por docente'!$A$8:$B$57,2,FALSE),""))</f>
        <v/>
      </c>
      <c r="C243" s="31"/>
      <c r="D243" s="52"/>
      <c r="E243" s="52"/>
      <c r="F243" s="38"/>
      <c r="G243" s="38"/>
      <c r="H243" s="41"/>
      <c r="I243" s="41"/>
      <c r="J243" s="41"/>
      <c r="K243" s="47" t="str">
        <f t="shared" si="5"/>
        <v/>
      </c>
      <c r="L243" s="47" t="str">
        <f t="shared" si="7"/>
        <v/>
      </c>
      <c r="M243" s="41"/>
      <c r="N243" s="38"/>
      <c r="O243" s="38"/>
      <c r="P243" s="38"/>
    </row>
    <row r="244" ht="15.75" customHeight="1">
      <c r="A244" s="52"/>
      <c r="B244" s="28" t="str">
        <f>IF($A244="","",IFERROR(VLOOKUP($A244,'Resumo por docente'!$A$8:$B$57,2,FALSE),""))</f>
        <v/>
      </c>
      <c r="C244" s="31"/>
      <c r="D244" s="52"/>
      <c r="E244" s="52"/>
      <c r="F244" s="38"/>
      <c r="G244" s="38"/>
      <c r="H244" s="41"/>
      <c r="I244" s="41"/>
      <c r="J244" s="41"/>
      <c r="K244" s="47" t="str">
        <f t="shared" si="5"/>
        <v/>
      </c>
      <c r="L244" s="47" t="str">
        <f t="shared" si="7"/>
        <v/>
      </c>
      <c r="M244" s="41"/>
      <c r="N244" s="38"/>
      <c r="O244" s="38"/>
      <c r="P244" s="38"/>
    </row>
    <row r="245" ht="15.75" customHeight="1">
      <c r="A245" s="52"/>
      <c r="B245" s="28" t="str">
        <f>IF($A245="","",IFERROR(VLOOKUP($A245,'Resumo por docente'!$A$8:$B$57,2,FALSE),""))</f>
        <v/>
      </c>
      <c r="C245" s="31"/>
      <c r="D245" s="52"/>
      <c r="E245" s="52"/>
      <c r="F245" s="38"/>
      <c r="G245" s="38"/>
      <c r="H245" s="41"/>
      <c r="I245" s="41"/>
      <c r="J245" s="41"/>
      <c r="K245" s="47" t="str">
        <f t="shared" si="5"/>
        <v/>
      </c>
      <c r="L245" s="47" t="str">
        <f t="shared" si="7"/>
        <v/>
      </c>
      <c r="M245" s="41"/>
      <c r="N245" s="38"/>
      <c r="O245" s="38"/>
      <c r="P245" s="38"/>
    </row>
    <row r="246" ht="15.75" customHeight="1">
      <c r="A246" s="52"/>
      <c r="B246" s="28" t="str">
        <f>IF($A246="","",IFERROR(VLOOKUP($A246,'Resumo por docente'!$A$8:$B$57,2,FALSE),""))</f>
        <v/>
      </c>
      <c r="C246" s="31"/>
      <c r="D246" s="52"/>
      <c r="E246" s="52"/>
      <c r="F246" s="38"/>
      <c r="G246" s="38"/>
      <c r="H246" s="41"/>
      <c r="I246" s="41"/>
      <c r="J246" s="41"/>
      <c r="K246" s="47" t="str">
        <f t="shared" si="5"/>
        <v/>
      </c>
      <c r="L246" s="47" t="str">
        <f t="shared" si="7"/>
        <v/>
      </c>
      <c r="M246" s="41"/>
      <c r="N246" s="38"/>
      <c r="O246" s="38"/>
      <c r="P246" s="38"/>
    </row>
    <row r="247" ht="15.75" customHeight="1">
      <c r="A247" s="52"/>
      <c r="B247" s="28" t="str">
        <f>IF($A247="","",IFERROR(VLOOKUP($A247,'Resumo por docente'!$A$8:$B$57,2,FALSE),""))</f>
        <v/>
      </c>
      <c r="C247" s="31"/>
      <c r="D247" s="52"/>
      <c r="E247" s="52"/>
      <c r="F247" s="38"/>
      <c r="G247" s="38"/>
      <c r="H247" s="41"/>
      <c r="I247" s="41"/>
      <c r="J247" s="41"/>
      <c r="K247" s="47" t="str">
        <f t="shared" si="5"/>
        <v/>
      </c>
      <c r="L247" s="47" t="str">
        <f t="shared" si="7"/>
        <v/>
      </c>
      <c r="M247" s="41"/>
      <c r="N247" s="38"/>
      <c r="O247" s="38"/>
      <c r="P247" s="38"/>
    </row>
    <row r="248" ht="15.75" customHeight="1">
      <c r="A248" s="52"/>
      <c r="B248" s="28" t="str">
        <f>IF($A248="","",IFERROR(VLOOKUP($A248,'Resumo por docente'!$A$8:$B$57,2,FALSE),""))</f>
        <v/>
      </c>
      <c r="C248" s="31"/>
      <c r="D248" s="52"/>
      <c r="E248" s="52"/>
      <c r="F248" s="38"/>
      <c r="G248" s="38"/>
      <c r="H248" s="41"/>
      <c r="I248" s="41"/>
      <c r="J248" s="41"/>
      <c r="K248" s="47" t="str">
        <f t="shared" si="5"/>
        <v/>
      </c>
      <c r="L248" s="47" t="str">
        <f t="shared" si="7"/>
        <v/>
      </c>
      <c r="M248" s="41"/>
      <c r="N248" s="38"/>
      <c r="O248" s="38"/>
      <c r="P248" s="38"/>
    </row>
    <row r="249" ht="15.75" customHeight="1">
      <c r="A249" s="52"/>
      <c r="B249" s="28" t="str">
        <f>IF($A249="","",IFERROR(VLOOKUP($A249,'Resumo por docente'!$A$8:$B$57,2,FALSE),""))</f>
        <v/>
      </c>
      <c r="C249" s="31"/>
      <c r="D249" s="52"/>
      <c r="E249" s="52"/>
      <c r="F249" s="38"/>
      <c r="G249" s="38"/>
      <c r="H249" s="41"/>
      <c r="I249" s="41"/>
      <c r="J249" s="41"/>
      <c r="K249" s="47" t="str">
        <f t="shared" si="5"/>
        <v/>
      </c>
      <c r="L249" s="47" t="str">
        <f t="shared" si="7"/>
        <v/>
      </c>
      <c r="M249" s="41"/>
      <c r="N249" s="38"/>
      <c r="O249" s="38"/>
      <c r="P249" s="38"/>
    </row>
    <row r="250" ht="15.75" customHeight="1">
      <c r="A250" s="52"/>
      <c r="B250" s="28" t="str">
        <f>IF($A250="","",IFERROR(VLOOKUP($A250,'Resumo por docente'!$A$8:$B$57,2,FALSE),""))</f>
        <v/>
      </c>
      <c r="C250" s="31"/>
      <c r="D250" s="52"/>
      <c r="E250" s="52"/>
      <c r="F250" s="38"/>
      <c r="G250" s="38"/>
      <c r="H250" s="41"/>
      <c r="I250" s="41"/>
      <c r="J250" s="41"/>
      <c r="K250" s="47" t="str">
        <f t="shared" si="5"/>
        <v/>
      </c>
      <c r="L250" s="47" t="str">
        <f t="shared" si="7"/>
        <v/>
      </c>
      <c r="M250" s="41"/>
      <c r="N250" s="38"/>
      <c r="O250" s="38"/>
      <c r="P250" s="38"/>
    </row>
    <row r="251" ht="15.75" customHeight="1">
      <c r="A251" s="52"/>
      <c r="B251" s="28" t="str">
        <f>IF($A251="","",IFERROR(VLOOKUP($A251,'Resumo por docente'!$A$8:$B$57,2,FALSE),""))</f>
        <v/>
      </c>
      <c r="C251" s="31"/>
      <c r="D251" s="52"/>
      <c r="E251" s="52"/>
      <c r="F251" s="38"/>
      <c r="G251" s="38"/>
      <c r="H251" s="41"/>
      <c r="I251" s="41"/>
      <c r="J251" s="41"/>
      <c r="K251" s="47" t="str">
        <f t="shared" si="5"/>
        <v/>
      </c>
      <c r="L251" s="47" t="str">
        <f t="shared" si="7"/>
        <v/>
      </c>
      <c r="M251" s="41"/>
      <c r="N251" s="38"/>
      <c r="O251" s="38"/>
      <c r="P251" s="38"/>
    </row>
    <row r="252" ht="15.75" customHeight="1">
      <c r="A252" s="52"/>
      <c r="B252" s="28" t="str">
        <f>IF($A252="","",IFERROR(VLOOKUP($A252,'Resumo por docente'!$A$8:$B$57,2,FALSE),""))</f>
        <v/>
      </c>
      <c r="C252" s="31"/>
      <c r="D252" s="52"/>
      <c r="E252" s="52"/>
      <c r="F252" s="38"/>
      <c r="G252" s="38"/>
      <c r="H252" s="41"/>
      <c r="I252" s="41"/>
      <c r="J252" s="41"/>
      <c r="K252" s="47" t="str">
        <f t="shared" si="5"/>
        <v/>
      </c>
      <c r="L252" s="47" t="str">
        <f t="shared" si="7"/>
        <v/>
      </c>
      <c r="M252" s="41"/>
      <c r="N252" s="38"/>
      <c r="O252" s="38"/>
      <c r="P252" s="38"/>
    </row>
    <row r="253" ht="15.75" customHeight="1">
      <c r="A253" s="52"/>
      <c r="B253" s="28" t="str">
        <f>IF($A253="","",IFERROR(VLOOKUP($A253,'Resumo por docente'!$A$8:$B$57,2,FALSE),""))</f>
        <v/>
      </c>
      <c r="C253" s="31"/>
      <c r="D253" s="52"/>
      <c r="E253" s="52"/>
      <c r="F253" s="38"/>
      <c r="G253" s="38"/>
      <c r="H253" s="41"/>
      <c r="I253" s="41"/>
      <c r="J253" s="41"/>
      <c r="K253" s="47" t="str">
        <f t="shared" si="5"/>
        <v/>
      </c>
      <c r="L253" s="47" t="str">
        <f t="shared" si="7"/>
        <v/>
      </c>
      <c r="M253" s="41"/>
      <c r="N253" s="38"/>
      <c r="O253" s="38"/>
      <c r="P253" s="38"/>
    </row>
    <row r="254" ht="15.75" customHeight="1">
      <c r="A254" s="52"/>
      <c r="B254" s="28" t="str">
        <f>IF($A254="","",IFERROR(VLOOKUP($A254,'Resumo por docente'!$A$8:$B$57,2,FALSE),""))</f>
        <v/>
      </c>
      <c r="C254" s="31"/>
      <c r="D254" s="52"/>
      <c r="E254" s="52"/>
      <c r="F254" s="38"/>
      <c r="G254" s="38"/>
      <c r="H254" s="41"/>
      <c r="I254" s="41"/>
      <c r="J254" s="41"/>
      <c r="K254" s="47" t="str">
        <f t="shared" si="5"/>
        <v/>
      </c>
      <c r="L254" s="47" t="str">
        <f t="shared" si="7"/>
        <v/>
      </c>
      <c r="M254" s="41"/>
      <c r="N254" s="38"/>
      <c r="O254" s="38"/>
      <c r="P254" s="38"/>
    </row>
    <row r="255" ht="15.75" customHeight="1">
      <c r="A255" s="52"/>
      <c r="B255" s="28" t="str">
        <f>IF($A255="","",IFERROR(VLOOKUP($A255,'Resumo por docente'!$A$8:$B$57,2,FALSE),""))</f>
        <v/>
      </c>
      <c r="C255" s="31"/>
      <c r="D255" s="52"/>
      <c r="E255" s="52"/>
      <c r="F255" s="38"/>
      <c r="G255" s="38"/>
      <c r="H255" s="41"/>
      <c r="I255" s="41"/>
      <c r="J255" s="41"/>
      <c r="K255" s="47" t="str">
        <f t="shared" si="5"/>
        <v/>
      </c>
      <c r="L255" s="47" t="str">
        <f t="shared" si="7"/>
        <v/>
      </c>
      <c r="M255" s="41"/>
      <c r="N255" s="38"/>
      <c r="O255" s="38"/>
      <c r="P255" s="38"/>
    </row>
    <row r="256" ht="15.75" customHeight="1">
      <c r="A256" s="52"/>
      <c r="B256" s="28" t="str">
        <f>IF($A256="","",IFERROR(VLOOKUP($A256,'Resumo por docente'!$A$8:$B$57,2,FALSE),""))</f>
        <v/>
      </c>
      <c r="C256" s="31"/>
      <c r="D256" s="52"/>
      <c r="E256" s="52"/>
      <c r="F256" s="38"/>
      <c r="G256" s="38"/>
      <c r="H256" s="41"/>
      <c r="I256" s="41"/>
      <c r="J256" s="41"/>
      <c r="K256" s="47" t="str">
        <f t="shared" si="5"/>
        <v/>
      </c>
      <c r="L256" s="47" t="str">
        <f t="shared" si="7"/>
        <v/>
      </c>
      <c r="M256" s="41"/>
      <c r="N256" s="38"/>
      <c r="O256" s="38"/>
      <c r="P256" s="38"/>
    </row>
    <row r="257" ht="15.75" customHeight="1">
      <c r="A257" s="52"/>
      <c r="B257" s="28" t="str">
        <f>IF($A257="","",IFERROR(VLOOKUP($A257,'Resumo por docente'!$A$8:$B$57,2,FALSE),""))</f>
        <v/>
      </c>
      <c r="C257" s="31"/>
      <c r="D257" s="52"/>
      <c r="E257" s="52"/>
      <c r="F257" s="38"/>
      <c r="G257" s="38"/>
      <c r="H257" s="41"/>
      <c r="I257" s="41"/>
      <c r="J257" s="41"/>
      <c r="K257" s="47" t="str">
        <f t="shared" si="5"/>
        <v/>
      </c>
      <c r="L257" s="47" t="str">
        <f t="shared" si="7"/>
        <v/>
      </c>
      <c r="M257" s="41"/>
      <c r="N257" s="38"/>
      <c r="O257" s="38"/>
      <c r="P257" s="38"/>
    </row>
    <row r="258" ht="15.75" customHeight="1">
      <c r="A258" s="52"/>
      <c r="B258" s="28" t="str">
        <f>IF($A258="","",IFERROR(VLOOKUP($A258,'Resumo por docente'!$A$8:$B$57,2,FALSE),""))</f>
        <v/>
      </c>
      <c r="C258" s="31"/>
      <c r="D258" s="52"/>
      <c r="E258" s="52"/>
      <c r="F258" s="38"/>
      <c r="G258" s="38"/>
      <c r="H258" s="41"/>
      <c r="I258" s="41"/>
      <c r="J258" s="41"/>
      <c r="K258" s="47" t="str">
        <f t="shared" si="5"/>
        <v/>
      </c>
      <c r="L258" s="47" t="str">
        <f t="shared" si="7"/>
        <v/>
      </c>
      <c r="M258" s="41"/>
      <c r="N258" s="38"/>
      <c r="O258" s="38"/>
      <c r="P258" s="38"/>
    </row>
    <row r="259" ht="15.75" customHeight="1">
      <c r="A259" s="52"/>
      <c r="B259" s="28" t="str">
        <f>IF($A259="","",IFERROR(VLOOKUP($A259,'Resumo por docente'!$A$8:$B$57,2,FALSE),""))</f>
        <v/>
      </c>
      <c r="C259" s="31"/>
      <c r="D259" s="52"/>
      <c r="E259" s="52"/>
      <c r="F259" s="38"/>
      <c r="G259" s="38"/>
      <c r="H259" s="41"/>
      <c r="I259" s="41"/>
      <c r="J259" s="41"/>
      <c r="K259" s="47" t="str">
        <f t="shared" si="5"/>
        <v/>
      </c>
      <c r="L259" s="47" t="str">
        <f t="shared" si="7"/>
        <v/>
      </c>
      <c r="M259" s="41"/>
      <c r="N259" s="38"/>
      <c r="O259" s="38"/>
      <c r="P259" s="38"/>
    </row>
    <row r="260" ht="15.75" customHeight="1">
      <c r="A260" s="52"/>
      <c r="B260" s="28" t="str">
        <f>IF($A260="","",IFERROR(VLOOKUP($A260,'Resumo por docente'!$A$8:$B$57,2,FALSE),""))</f>
        <v/>
      </c>
      <c r="C260" s="31"/>
      <c r="D260" s="52"/>
      <c r="E260" s="52"/>
      <c r="F260" s="38"/>
      <c r="G260" s="38"/>
      <c r="H260" s="41"/>
      <c r="I260" s="41"/>
      <c r="J260" s="41"/>
      <c r="K260" s="47" t="str">
        <f t="shared" si="5"/>
        <v/>
      </c>
      <c r="L260" s="47" t="str">
        <f t="shared" si="7"/>
        <v/>
      </c>
      <c r="M260" s="41"/>
      <c r="N260" s="38"/>
      <c r="O260" s="38"/>
      <c r="P260" s="38"/>
    </row>
    <row r="261" ht="15.75" customHeight="1">
      <c r="A261" s="52"/>
      <c r="B261" s="28" t="str">
        <f>IF($A261="","",IFERROR(VLOOKUP($A261,'Resumo por docente'!$A$8:$B$57,2,FALSE),""))</f>
        <v/>
      </c>
      <c r="C261" s="31"/>
      <c r="D261" s="52"/>
      <c r="E261" s="52"/>
      <c r="F261" s="38"/>
      <c r="G261" s="38"/>
      <c r="H261" s="41"/>
      <c r="I261" s="41"/>
      <c r="J261" s="41"/>
      <c r="K261" s="47" t="str">
        <f t="shared" si="5"/>
        <v/>
      </c>
      <c r="L261" s="47" t="str">
        <f t="shared" si="7"/>
        <v/>
      </c>
      <c r="M261" s="41"/>
      <c r="N261" s="38"/>
      <c r="O261" s="38"/>
      <c r="P261" s="38"/>
    </row>
    <row r="262" ht="15.75" customHeight="1">
      <c r="A262" s="52"/>
      <c r="B262" s="28" t="str">
        <f>IF($A262="","",IFERROR(VLOOKUP($A262,'Resumo por docente'!$A$8:$B$57,2,FALSE),""))</f>
        <v/>
      </c>
      <c r="C262" s="31"/>
      <c r="D262" s="52"/>
      <c r="E262" s="52"/>
      <c r="F262" s="38"/>
      <c r="G262" s="38"/>
      <c r="H262" s="41"/>
      <c r="I262" s="41"/>
      <c r="J262" s="41"/>
      <c r="K262" s="47" t="str">
        <f t="shared" si="5"/>
        <v/>
      </c>
      <c r="L262" s="47" t="str">
        <f t="shared" si="7"/>
        <v/>
      </c>
      <c r="M262" s="41"/>
      <c r="N262" s="38"/>
      <c r="O262" s="38"/>
      <c r="P262" s="38"/>
    </row>
    <row r="263" ht="15.75" customHeight="1">
      <c r="A263" s="52"/>
      <c r="B263" s="28" t="str">
        <f>IF($A263="","",IFERROR(VLOOKUP($A263,'Resumo por docente'!$A$8:$B$57,2,FALSE),""))</f>
        <v/>
      </c>
      <c r="C263" s="31"/>
      <c r="D263" s="52"/>
      <c r="E263" s="52"/>
      <c r="F263" s="38"/>
      <c r="G263" s="38"/>
      <c r="H263" s="41"/>
      <c r="I263" s="41"/>
      <c r="J263" s="41"/>
      <c r="K263" s="47" t="str">
        <f t="shared" si="5"/>
        <v/>
      </c>
      <c r="L263" s="47" t="str">
        <f t="shared" si="7"/>
        <v/>
      </c>
      <c r="M263" s="41"/>
      <c r="N263" s="38"/>
      <c r="O263" s="38"/>
      <c r="P263" s="38"/>
    </row>
    <row r="264" ht="15.75" customHeight="1">
      <c r="A264" s="52"/>
      <c r="B264" s="28" t="str">
        <f>IF($A264="","",IFERROR(VLOOKUP($A264,'Resumo por docente'!$A$8:$B$57,2,FALSE),""))</f>
        <v/>
      </c>
      <c r="C264" s="31"/>
      <c r="D264" s="52"/>
      <c r="E264" s="52"/>
      <c r="F264" s="38"/>
      <c r="G264" s="38"/>
      <c r="H264" s="41"/>
      <c r="I264" s="41"/>
      <c r="J264" s="41"/>
      <c r="K264" s="47" t="str">
        <f t="shared" si="5"/>
        <v/>
      </c>
      <c r="L264" s="47" t="str">
        <f t="shared" si="7"/>
        <v/>
      </c>
      <c r="M264" s="41"/>
      <c r="N264" s="38"/>
      <c r="O264" s="38"/>
      <c r="P264" s="38"/>
    </row>
    <row r="265" ht="15.75" customHeight="1">
      <c r="A265" s="52"/>
      <c r="B265" s="28" t="str">
        <f>IF($A265="","",IFERROR(VLOOKUP($A265,'Resumo por docente'!$A$8:$B$57,2,FALSE),""))</f>
        <v/>
      </c>
      <c r="C265" s="31"/>
      <c r="D265" s="52"/>
      <c r="E265" s="52"/>
      <c r="F265" s="38"/>
      <c r="G265" s="38"/>
      <c r="H265" s="41"/>
      <c r="I265" s="41"/>
      <c r="J265" s="41"/>
      <c r="K265" s="47" t="str">
        <f t="shared" si="5"/>
        <v/>
      </c>
      <c r="L265" s="47" t="str">
        <f t="shared" si="7"/>
        <v/>
      </c>
      <c r="M265" s="41"/>
      <c r="N265" s="38"/>
      <c r="O265" s="38"/>
      <c r="P265" s="38"/>
    </row>
    <row r="266" ht="15.75" customHeight="1">
      <c r="A266" s="52"/>
      <c r="B266" s="28" t="str">
        <f>IF($A266="","",IFERROR(VLOOKUP($A266,'Resumo por docente'!$A$8:$B$57,2,FALSE),""))</f>
        <v/>
      </c>
      <c r="C266" s="31"/>
      <c r="D266" s="52"/>
      <c r="E266" s="52"/>
      <c r="F266" s="38"/>
      <c r="G266" s="38"/>
      <c r="H266" s="41"/>
      <c r="I266" s="41"/>
      <c r="J266" s="41"/>
      <c r="K266" s="47" t="str">
        <f t="shared" si="5"/>
        <v/>
      </c>
      <c r="L266" s="47" t="str">
        <f t="shared" si="7"/>
        <v/>
      </c>
      <c r="M266" s="41"/>
      <c r="N266" s="38"/>
      <c r="O266" s="38"/>
      <c r="P266" s="38"/>
    </row>
    <row r="267" ht="15.75" customHeight="1">
      <c r="A267" s="52"/>
      <c r="B267" s="28" t="str">
        <f>IF($A267="","",IFERROR(VLOOKUP($A267,'Resumo por docente'!$A$8:$B$57,2,FALSE),""))</f>
        <v/>
      </c>
      <c r="C267" s="31"/>
      <c r="D267" s="52"/>
      <c r="E267" s="52"/>
      <c r="F267" s="38"/>
      <c r="G267" s="38"/>
      <c r="H267" s="41"/>
      <c r="I267" s="41"/>
      <c r="J267" s="41"/>
      <c r="K267" s="47" t="str">
        <f t="shared" si="5"/>
        <v/>
      </c>
      <c r="L267" s="47" t="str">
        <f t="shared" si="7"/>
        <v/>
      </c>
      <c r="M267" s="41"/>
      <c r="N267" s="38"/>
      <c r="O267" s="38"/>
      <c r="P267" s="38"/>
    </row>
    <row r="268" ht="15.75" customHeight="1">
      <c r="A268" s="52"/>
      <c r="B268" s="28" t="str">
        <f>IF($A268="","",IFERROR(VLOOKUP($A268,'Resumo por docente'!$A$8:$B$57,2,FALSE),""))</f>
        <v/>
      </c>
      <c r="C268" s="31"/>
      <c r="D268" s="52"/>
      <c r="E268" s="52"/>
      <c r="F268" s="38"/>
      <c r="G268" s="38"/>
      <c r="H268" s="41"/>
      <c r="I268" s="41"/>
      <c r="J268" s="41"/>
      <c r="K268" s="47" t="str">
        <f t="shared" si="5"/>
        <v/>
      </c>
      <c r="L268" s="47" t="str">
        <f t="shared" si="7"/>
        <v/>
      </c>
      <c r="M268" s="41"/>
      <c r="N268" s="38"/>
      <c r="O268" s="38"/>
      <c r="P268" s="38"/>
    </row>
    <row r="269" ht="15.75" customHeight="1">
      <c r="A269" s="52"/>
      <c r="B269" s="28" t="str">
        <f>IF($A269="","",IFERROR(VLOOKUP($A269,'Resumo por docente'!$A$8:$B$57,2,FALSE),""))</f>
        <v/>
      </c>
      <c r="C269" s="31"/>
      <c r="D269" s="52"/>
      <c r="E269" s="52"/>
      <c r="F269" s="38"/>
      <c r="G269" s="38"/>
      <c r="H269" s="41"/>
      <c r="I269" s="41"/>
      <c r="J269" s="41"/>
      <c r="K269" s="47" t="str">
        <f t="shared" si="5"/>
        <v/>
      </c>
      <c r="L269" s="47" t="str">
        <f t="shared" si="7"/>
        <v/>
      </c>
      <c r="M269" s="41"/>
      <c r="N269" s="38"/>
      <c r="O269" s="38"/>
      <c r="P269" s="38"/>
    </row>
    <row r="270" ht="15.75" customHeight="1">
      <c r="A270" s="52"/>
      <c r="B270" s="28" t="str">
        <f>IF($A270="","",IFERROR(VLOOKUP($A270,'Resumo por docente'!$A$8:$B$57,2,FALSE),""))</f>
        <v/>
      </c>
      <c r="C270" s="31"/>
      <c r="D270" s="52"/>
      <c r="E270" s="52"/>
      <c r="F270" s="38"/>
      <c r="G270" s="38"/>
      <c r="H270" s="41"/>
      <c r="I270" s="41"/>
      <c r="J270" s="41"/>
      <c r="K270" s="47" t="str">
        <f t="shared" si="5"/>
        <v/>
      </c>
      <c r="L270" s="47" t="str">
        <f t="shared" si="7"/>
        <v/>
      </c>
      <c r="M270" s="41"/>
      <c r="N270" s="38"/>
      <c r="O270" s="38"/>
      <c r="P270" s="38"/>
    </row>
    <row r="271" ht="15.75" customHeight="1">
      <c r="A271" s="52"/>
      <c r="B271" s="28" t="str">
        <f>IF($A271="","",IFERROR(VLOOKUP($A271,'Resumo por docente'!$A$8:$B$57,2,FALSE),""))</f>
        <v/>
      </c>
      <c r="C271" s="31"/>
      <c r="D271" s="52"/>
      <c r="E271" s="52"/>
      <c r="F271" s="38"/>
      <c r="G271" s="38"/>
      <c r="H271" s="41"/>
      <c r="I271" s="41"/>
      <c r="J271" s="41"/>
      <c r="K271" s="47" t="str">
        <f t="shared" si="5"/>
        <v/>
      </c>
      <c r="L271" s="47" t="str">
        <f t="shared" si="7"/>
        <v/>
      </c>
      <c r="M271" s="41"/>
      <c r="N271" s="38"/>
      <c r="O271" s="38"/>
      <c r="P271" s="38"/>
    </row>
    <row r="272" ht="15.75" customHeight="1">
      <c r="A272" s="52"/>
      <c r="B272" s="28" t="str">
        <f>IF($A272="","",IFERROR(VLOOKUP($A272,'Resumo por docente'!$A$8:$B$57,2,FALSE),""))</f>
        <v/>
      </c>
      <c r="C272" s="31"/>
      <c r="D272" s="52"/>
      <c r="E272" s="52"/>
      <c r="F272" s="38"/>
      <c r="G272" s="38"/>
      <c r="H272" s="41"/>
      <c r="I272" s="41"/>
      <c r="J272" s="41"/>
      <c r="K272" s="47" t="str">
        <f t="shared" si="5"/>
        <v/>
      </c>
      <c r="L272" s="47" t="str">
        <f t="shared" si="7"/>
        <v/>
      </c>
      <c r="M272" s="41"/>
      <c r="N272" s="38"/>
      <c r="O272" s="38"/>
      <c r="P272" s="38"/>
    </row>
    <row r="273" ht="15.75" customHeight="1">
      <c r="A273" s="52"/>
      <c r="B273" s="28" t="str">
        <f>IF($A273="","",IFERROR(VLOOKUP($A273,'Resumo por docente'!$A$8:$B$57,2,FALSE),""))</f>
        <v/>
      </c>
      <c r="C273" s="31"/>
      <c r="D273" s="52"/>
      <c r="E273" s="52"/>
      <c r="F273" s="38"/>
      <c r="G273" s="38"/>
      <c r="H273" s="41"/>
      <c r="I273" s="41"/>
      <c r="J273" s="41"/>
      <c r="K273" s="47" t="str">
        <f t="shared" si="5"/>
        <v/>
      </c>
      <c r="L273" s="47" t="str">
        <f t="shared" si="7"/>
        <v/>
      </c>
      <c r="M273" s="41"/>
      <c r="N273" s="38"/>
      <c r="O273" s="38"/>
      <c r="P273" s="38"/>
    </row>
    <row r="274" ht="15.75" customHeight="1">
      <c r="A274" s="52"/>
      <c r="B274" s="28" t="str">
        <f>IF($A274="","",IFERROR(VLOOKUP($A274,'Resumo por docente'!$A$8:$B$57,2,FALSE),""))</f>
        <v/>
      </c>
      <c r="C274" s="31"/>
      <c r="D274" s="52"/>
      <c r="E274" s="52"/>
      <c r="F274" s="38"/>
      <c r="G274" s="38"/>
      <c r="H274" s="41"/>
      <c r="I274" s="41"/>
      <c r="J274" s="41"/>
      <c r="K274" s="47" t="str">
        <f t="shared" si="5"/>
        <v/>
      </c>
      <c r="L274" s="47" t="str">
        <f t="shared" si="7"/>
        <v/>
      </c>
      <c r="M274" s="41"/>
      <c r="N274" s="38"/>
      <c r="O274" s="38"/>
      <c r="P274" s="38"/>
    </row>
    <row r="275" ht="15.75" customHeight="1">
      <c r="A275" s="52"/>
      <c r="B275" s="28" t="str">
        <f>IF($A275="","",IFERROR(VLOOKUP($A275,'Resumo por docente'!$A$8:$B$57,2,FALSE),""))</f>
        <v/>
      </c>
      <c r="C275" s="31"/>
      <c r="D275" s="52"/>
      <c r="E275" s="52"/>
      <c r="F275" s="38"/>
      <c r="G275" s="38"/>
      <c r="H275" s="41"/>
      <c r="I275" s="41"/>
      <c r="J275" s="41"/>
      <c r="K275" s="47" t="str">
        <f t="shared" si="5"/>
        <v/>
      </c>
      <c r="L275" s="47" t="str">
        <f t="shared" si="7"/>
        <v/>
      </c>
      <c r="M275" s="41"/>
      <c r="N275" s="38"/>
      <c r="O275" s="38"/>
      <c r="P275" s="38"/>
    </row>
    <row r="276" ht="15.75" customHeight="1">
      <c r="A276" s="52"/>
      <c r="B276" s="28" t="str">
        <f>IF($A276="","",IFERROR(VLOOKUP($A276,'Resumo por docente'!$A$8:$B$57,2,FALSE),""))</f>
        <v/>
      </c>
      <c r="C276" s="31"/>
      <c r="D276" s="52"/>
      <c r="E276" s="52"/>
      <c r="F276" s="38"/>
      <c r="G276" s="38"/>
      <c r="H276" s="41"/>
      <c r="I276" s="41"/>
      <c r="J276" s="41"/>
      <c r="K276" s="47" t="str">
        <f t="shared" si="5"/>
        <v/>
      </c>
      <c r="L276" s="47" t="str">
        <f t="shared" si="7"/>
        <v/>
      </c>
      <c r="M276" s="41"/>
      <c r="N276" s="38"/>
      <c r="O276" s="38"/>
      <c r="P276" s="38"/>
    </row>
    <row r="277" ht="15.75" customHeight="1">
      <c r="A277" s="52"/>
      <c r="B277" s="28" t="str">
        <f>IF($A277="","",IFERROR(VLOOKUP($A277,'Resumo por docente'!$A$8:$B$57,2,FALSE),""))</f>
        <v/>
      </c>
      <c r="C277" s="31"/>
      <c r="D277" s="52"/>
      <c r="E277" s="52"/>
      <c r="F277" s="38"/>
      <c r="G277" s="38"/>
      <c r="H277" s="41"/>
      <c r="I277" s="41"/>
      <c r="J277" s="41"/>
      <c r="K277" s="47" t="str">
        <f t="shared" si="5"/>
        <v/>
      </c>
      <c r="L277" s="47" t="str">
        <f t="shared" si="7"/>
        <v/>
      </c>
      <c r="M277" s="41"/>
      <c r="N277" s="38"/>
      <c r="O277" s="38"/>
      <c r="P277" s="38"/>
    </row>
    <row r="278" ht="15.75" customHeight="1">
      <c r="A278" s="52"/>
      <c r="B278" s="28" t="str">
        <f>IF($A278="","",IFERROR(VLOOKUP($A278,'Resumo por docente'!$A$8:$B$57,2,FALSE),""))</f>
        <v/>
      </c>
      <c r="C278" s="31"/>
      <c r="D278" s="52"/>
      <c r="E278" s="52"/>
      <c r="F278" s="38"/>
      <c r="G278" s="38"/>
      <c r="H278" s="41"/>
      <c r="I278" s="41"/>
      <c r="J278" s="41"/>
      <c r="K278" s="47" t="str">
        <f t="shared" si="5"/>
        <v/>
      </c>
      <c r="L278" s="47" t="str">
        <f t="shared" si="7"/>
        <v/>
      </c>
      <c r="M278" s="41"/>
      <c r="N278" s="38"/>
      <c r="O278" s="38"/>
      <c r="P278" s="38"/>
    </row>
    <row r="279" ht="15.75" customHeight="1">
      <c r="A279" s="52"/>
      <c r="B279" s="28" t="str">
        <f>IF($A279="","",IFERROR(VLOOKUP($A279,'Resumo por docente'!$A$8:$B$57,2,FALSE),""))</f>
        <v/>
      </c>
      <c r="C279" s="31"/>
      <c r="D279" s="52"/>
      <c r="E279" s="52"/>
      <c r="F279" s="38"/>
      <c r="G279" s="38"/>
      <c r="H279" s="41"/>
      <c r="I279" s="41"/>
      <c r="J279" s="41"/>
      <c r="K279" s="47" t="str">
        <f t="shared" si="5"/>
        <v/>
      </c>
      <c r="L279" s="47" t="str">
        <f t="shared" si="7"/>
        <v/>
      </c>
      <c r="M279" s="41"/>
      <c r="N279" s="38"/>
      <c r="O279" s="38"/>
      <c r="P279" s="38"/>
    </row>
    <row r="280" ht="15.75" customHeight="1">
      <c r="A280" s="52"/>
      <c r="B280" s="28" t="str">
        <f>IF($A280="","",IFERROR(VLOOKUP($A280,'Resumo por docente'!$A$8:$B$57,2,FALSE),""))</f>
        <v/>
      </c>
      <c r="C280" s="31"/>
      <c r="D280" s="52"/>
      <c r="E280" s="52"/>
      <c r="F280" s="38"/>
      <c r="G280" s="38"/>
      <c r="H280" s="41"/>
      <c r="I280" s="41"/>
      <c r="J280" s="41"/>
      <c r="K280" s="47" t="str">
        <f t="shared" si="5"/>
        <v/>
      </c>
      <c r="L280" s="47" t="str">
        <f t="shared" si="7"/>
        <v/>
      </c>
      <c r="M280" s="41"/>
      <c r="N280" s="38"/>
      <c r="O280" s="38"/>
      <c r="P280" s="38"/>
    </row>
    <row r="281" ht="15.75" customHeight="1">
      <c r="A281" s="52"/>
      <c r="B281" s="28" t="str">
        <f>IF($A281="","",IFERROR(VLOOKUP($A281,'Resumo por docente'!$A$8:$B$57,2,FALSE),""))</f>
        <v/>
      </c>
      <c r="C281" s="31"/>
      <c r="D281" s="52"/>
      <c r="E281" s="52"/>
      <c r="F281" s="38"/>
      <c r="G281" s="38"/>
      <c r="H281" s="41"/>
      <c r="I281" s="41"/>
      <c r="J281" s="41"/>
      <c r="K281" s="47" t="str">
        <f t="shared" si="5"/>
        <v/>
      </c>
      <c r="L281" s="47" t="str">
        <f t="shared" si="7"/>
        <v/>
      </c>
      <c r="M281" s="41"/>
      <c r="N281" s="38"/>
      <c r="O281" s="38"/>
      <c r="P281" s="38"/>
    </row>
    <row r="282" ht="15.75" customHeight="1">
      <c r="A282" s="52"/>
      <c r="B282" s="28" t="str">
        <f>IF($A282="","",IFERROR(VLOOKUP($A282,'Resumo por docente'!$A$8:$B$57,2,FALSE),""))</f>
        <v/>
      </c>
      <c r="C282" s="31"/>
      <c r="D282" s="52"/>
      <c r="E282" s="52"/>
      <c r="F282" s="38"/>
      <c r="G282" s="38"/>
      <c r="H282" s="41"/>
      <c r="I282" s="41"/>
      <c r="J282" s="41"/>
      <c r="K282" s="47" t="str">
        <f t="shared" si="5"/>
        <v/>
      </c>
      <c r="L282" s="47" t="str">
        <f t="shared" si="7"/>
        <v/>
      </c>
      <c r="M282" s="41"/>
      <c r="N282" s="38"/>
      <c r="O282" s="38"/>
      <c r="P282" s="38"/>
    </row>
    <row r="283" ht="15.75" customHeight="1">
      <c r="A283" s="52"/>
      <c r="B283" s="28" t="str">
        <f>IF($A283="","",IFERROR(VLOOKUP($A283,'Resumo por docente'!$A$8:$B$57,2,FALSE),""))</f>
        <v/>
      </c>
      <c r="C283" s="31"/>
      <c r="D283" s="52"/>
      <c r="E283" s="52"/>
      <c r="F283" s="38"/>
      <c r="G283" s="38"/>
      <c r="H283" s="41"/>
      <c r="I283" s="41"/>
      <c r="J283" s="41"/>
      <c r="K283" s="47" t="str">
        <f t="shared" si="5"/>
        <v/>
      </c>
      <c r="L283" s="47" t="str">
        <f t="shared" si="7"/>
        <v/>
      </c>
      <c r="M283" s="41"/>
      <c r="N283" s="38"/>
      <c r="O283" s="38"/>
      <c r="P283" s="38"/>
    </row>
    <row r="284" ht="15.75" customHeight="1">
      <c r="A284" s="52"/>
      <c r="B284" s="28" t="str">
        <f>IF($A284="","",IFERROR(VLOOKUP($A284,'Resumo por docente'!$A$8:$B$57,2,FALSE),""))</f>
        <v/>
      </c>
      <c r="C284" s="31"/>
      <c r="D284" s="52"/>
      <c r="E284" s="52"/>
      <c r="F284" s="38"/>
      <c r="G284" s="38"/>
      <c r="H284" s="41"/>
      <c r="I284" s="41"/>
      <c r="J284" s="41"/>
      <c r="K284" s="47" t="str">
        <f t="shared" si="5"/>
        <v/>
      </c>
      <c r="L284" s="47" t="str">
        <f t="shared" si="7"/>
        <v/>
      </c>
      <c r="M284" s="41"/>
      <c r="N284" s="38"/>
      <c r="O284" s="38"/>
      <c r="P284" s="38"/>
    </row>
    <row r="285" ht="15.75" customHeight="1">
      <c r="A285" s="52"/>
      <c r="B285" s="28" t="str">
        <f>IF($A285="","",IFERROR(VLOOKUP($A285,'Resumo por docente'!$A$8:$B$57,2,FALSE),""))</f>
        <v/>
      </c>
      <c r="C285" s="31"/>
      <c r="D285" s="52"/>
      <c r="E285" s="52"/>
      <c r="F285" s="38"/>
      <c r="G285" s="38"/>
      <c r="H285" s="41"/>
      <c r="I285" s="41"/>
      <c r="J285" s="41"/>
      <c r="K285" s="47" t="str">
        <f t="shared" si="5"/>
        <v/>
      </c>
      <c r="L285" s="47" t="str">
        <f t="shared" si="7"/>
        <v/>
      </c>
      <c r="M285" s="41"/>
      <c r="N285" s="38"/>
      <c r="O285" s="38"/>
      <c r="P285" s="38"/>
    </row>
    <row r="286" ht="15.75" customHeight="1">
      <c r="A286" s="52"/>
      <c r="B286" s="28" t="str">
        <f>IF($A286="","",IFERROR(VLOOKUP($A286,'Resumo por docente'!$A$8:$B$57,2,FALSE),""))</f>
        <v/>
      </c>
      <c r="C286" s="31"/>
      <c r="D286" s="52"/>
      <c r="E286" s="52"/>
      <c r="F286" s="38"/>
      <c r="G286" s="38"/>
      <c r="H286" s="41"/>
      <c r="I286" s="41"/>
      <c r="J286" s="41"/>
      <c r="K286" s="47" t="str">
        <f t="shared" si="5"/>
        <v/>
      </c>
      <c r="L286" s="47" t="str">
        <f t="shared" si="7"/>
        <v/>
      </c>
      <c r="M286" s="41"/>
      <c r="N286" s="38"/>
      <c r="O286" s="38"/>
      <c r="P286" s="38"/>
    </row>
    <row r="287" ht="15.75" customHeight="1">
      <c r="A287" s="52"/>
      <c r="B287" s="28" t="str">
        <f>IF($A287="","",IFERROR(VLOOKUP($A287,'Resumo por docente'!$A$8:$B$57,2,FALSE),""))</f>
        <v/>
      </c>
      <c r="C287" s="31"/>
      <c r="D287" s="52"/>
      <c r="E287" s="52"/>
      <c r="F287" s="38"/>
      <c r="G287" s="38"/>
      <c r="H287" s="41"/>
      <c r="I287" s="41"/>
      <c r="J287" s="41"/>
      <c r="K287" s="47" t="str">
        <f t="shared" si="5"/>
        <v/>
      </c>
      <c r="L287" s="47" t="str">
        <f t="shared" si="7"/>
        <v/>
      </c>
      <c r="M287" s="41"/>
      <c r="N287" s="38"/>
      <c r="O287" s="38"/>
      <c r="P287" s="38"/>
    </row>
    <row r="288" ht="15.75" customHeight="1">
      <c r="A288" s="52"/>
      <c r="B288" s="28" t="str">
        <f>IF($A288="","",IFERROR(VLOOKUP($A288,'Resumo por docente'!$A$8:$B$57,2,FALSE),""))</f>
        <v/>
      </c>
      <c r="C288" s="31"/>
      <c r="D288" s="52"/>
      <c r="E288" s="52"/>
      <c r="F288" s="38"/>
      <c r="G288" s="38"/>
      <c r="H288" s="41"/>
      <c r="I288" s="41"/>
      <c r="J288" s="41"/>
      <c r="K288" s="47" t="str">
        <f t="shared" si="5"/>
        <v/>
      </c>
      <c r="L288" s="47" t="str">
        <f t="shared" si="7"/>
        <v/>
      </c>
      <c r="M288" s="41"/>
      <c r="N288" s="38"/>
      <c r="O288" s="38"/>
      <c r="P288" s="38"/>
    </row>
    <row r="289" ht="15.75" customHeight="1">
      <c r="A289" s="52"/>
      <c r="B289" s="28" t="str">
        <f>IF($A289="","",IFERROR(VLOOKUP($A289,'Resumo por docente'!$A$8:$B$57,2,FALSE),""))</f>
        <v/>
      </c>
      <c r="C289" s="31"/>
      <c r="D289" s="52"/>
      <c r="E289" s="52"/>
      <c r="F289" s="38"/>
      <c r="G289" s="38"/>
      <c r="H289" s="41"/>
      <c r="I289" s="41"/>
      <c r="J289" s="41"/>
      <c r="K289" s="47" t="str">
        <f t="shared" si="5"/>
        <v/>
      </c>
      <c r="L289" s="47" t="str">
        <f t="shared" si="7"/>
        <v/>
      </c>
      <c r="M289" s="41"/>
      <c r="N289" s="38"/>
      <c r="O289" s="38"/>
      <c r="P289" s="38"/>
    </row>
    <row r="290" ht="15.75" customHeight="1">
      <c r="A290" s="52"/>
      <c r="B290" s="28" t="str">
        <f>IF($A290="","",IFERROR(VLOOKUP($A290,'Resumo por docente'!$A$8:$B$57,2,FALSE),""))</f>
        <v/>
      </c>
      <c r="C290" s="31"/>
      <c r="D290" s="52"/>
      <c r="E290" s="52"/>
      <c r="F290" s="38"/>
      <c r="G290" s="38"/>
      <c r="H290" s="41"/>
      <c r="I290" s="41"/>
      <c r="J290" s="41"/>
      <c r="K290" s="47" t="str">
        <f t="shared" si="5"/>
        <v/>
      </c>
      <c r="L290" s="47" t="str">
        <f t="shared" si="7"/>
        <v/>
      </c>
      <c r="M290" s="41"/>
      <c r="N290" s="38"/>
      <c r="O290" s="38"/>
      <c r="P290" s="38"/>
    </row>
    <row r="291" ht="15.75" customHeight="1">
      <c r="A291" s="52"/>
      <c r="B291" s="28" t="str">
        <f>IF($A291="","",IFERROR(VLOOKUP($A291,'Resumo por docente'!$A$8:$B$57,2,FALSE),""))</f>
        <v/>
      </c>
      <c r="C291" s="31"/>
      <c r="D291" s="52"/>
      <c r="E291" s="52"/>
      <c r="F291" s="38"/>
      <c r="G291" s="38"/>
      <c r="H291" s="41"/>
      <c r="I291" s="41"/>
      <c r="J291" s="41"/>
      <c r="K291" s="47" t="str">
        <f t="shared" si="5"/>
        <v/>
      </c>
      <c r="L291" s="47" t="str">
        <f t="shared" si="7"/>
        <v/>
      </c>
      <c r="M291" s="41"/>
      <c r="N291" s="38"/>
      <c r="O291" s="38"/>
      <c r="P291" s="38"/>
    </row>
    <row r="292" ht="15.75" customHeight="1">
      <c r="A292" s="52"/>
      <c r="B292" s="28" t="str">
        <f>IF($A292="","",IFERROR(VLOOKUP($A292,'Resumo por docente'!$A$8:$B$57,2,FALSE),""))</f>
        <v/>
      </c>
      <c r="C292" s="31"/>
      <c r="D292" s="52"/>
      <c r="E292" s="52"/>
      <c r="F292" s="38"/>
      <c r="G292" s="38"/>
      <c r="H292" s="41"/>
      <c r="I292" s="41"/>
      <c r="J292" s="41"/>
      <c r="K292" s="47" t="str">
        <f t="shared" si="5"/>
        <v/>
      </c>
      <c r="L292" s="47" t="str">
        <f t="shared" si="7"/>
        <v/>
      </c>
      <c r="M292" s="41"/>
      <c r="N292" s="38"/>
      <c r="O292" s="38"/>
      <c r="P292" s="38"/>
    </row>
    <row r="293" ht="15.75" customHeight="1">
      <c r="A293" s="52"/>
      <c r="B293" s="28" t="str">
        <f>IF($A293="","",IFERROR(VLOOKUP($A293,'Resumo por docente'!$A$8:$B$57,2,FALSE),""))</f>
        <v/>
      </c>
      <c r="C293" s="31"/>
      <c r="D293" s="52"/>
      <c r="E293" s="52"/>
      <c r="F293" s="38"/>
      <c r="G293" s="38"/>
      <c r="H293" s="41"/>
      <c r="I293" s="41"/>
      <c r="J293" s="41"/>
      <c r="K293" s="47" t="str">
        <f t="shared" si="5"/>
        <v/>
      </c>
      <c r="L293" s="47" t="str">
        <f t="shared" si="7"/>
        <v/>
      </c>
      <c r="M293" s="41"/>
      <c r="N293" s="38"/>
      <c r="O293" s="38"/>
      <c r="P293" s="38"/>
    </row>
    <row r="294" ht="15.75" customHeight="1">
      <c r="A294" s="52"/>
      <c r="B294" s="28" t="str">
        <f>IF($A294="","",IFERROR(VLOOKUP($A294,'Resumo por docente'!$A$8:$B$57,2,FALSE),""))</f>
        <v/>
      </c>
      <c r="C294" s="31"/>
      <c r="D294" s="52"/>
      <c r="E294" s="52"/>
      <c r="F294" s="38"/>
      <c r="G294" s="38"/>
      <c r="H294" s="41"/>
      <c r="I294" s="41"/>
      <c r="J294" s="41"/>
      <c r="K294" s="47" t="str">
        <f t="shared" si="5"/>
        <v/>
      </c>
      <c r="L294" s="47" t="str">
        <f t="shared" si="7"/>
        <v/>
      </c>
      <c r="M294" s="41"/>
      <c r="N294" s="38"/>
      <c r="O294" s="38"/>
      <c r="P294" s="38"/>
    </row>
    <row r="295" ht="15.75" customHeight="1">
      <c r="A295" s="52"/>
      <c r="B295" s="28" t="str">
        <f>IF($A295="","",IFERROR(VLOOKUP($A295,'Resumo por docente'!$A$8:$B$57,2,FALSE),""))</f>
        <v/>
      </c>
      <c r="C295" s="31"/>
      <c r="D295" s="52"/>
      <c r="E295" s="52"/>
      <c r="F295" s="38"/>
      <c r="G295" s="38"/>
      <c r="H295" s="41"/>
      <c r="I295" s="41"/>
      <c r="J295" s="41"/>
      <c r="K295" s="47" t="str">
        <f t="shared" si="5"/>
        <v/>
      </c>
      <c r="L295" s="47" t="str">
        <f t="shared" si="7"/>
        <v/>
      </c>
      <c r="M295" s="41"/>
      <c r="N295" s="38"/>
      <c r="O295" s="38"/>
      <c r="P295" s="38"/>
    </row>
    <row r="296" ht="15.75" customHeight="1">
      <c r="A296" s="52"/>
      <c r="B296" s="28" t="str">
        <f>IF($A296="","",IFERROR(VLOOKUP($A296,'Resumo por docente'!$A$8:$B$57,2,FALSE),""))</f>
        <v/>
      </c>
      <c r="C296" s="31"/>
      <c r="D296" s="52"/>
      <c r="E296" s="52"/>
      <c r="F296" s="38"/>
      <c r="G296" s="38"/>
      <c r="H296" s="41"/>
      <c r="I296" s="41"/>
      <c r="J296" s="41"/>
      <c r="K296" s="47" t="str">
        <f t="shared" si="5"/>
        <v/>
      </c>
      <c r="L296" s="47" t="str">
        <f t="shared" si="7"/>
        <v/>
      </c>
      <c r="M296" s="41"/>
      <c r="N296" s="38"/>
      <c r="O296" s="38"/>
      <c r="P296" s="38"/>
    </row>
    <row r="297" ht="15.75" customHeight="1">
      <c r="A297" s="52"/>
      <c r="B297" s="28" t="str">
        <f>IF($A297="","",IFERROR(VLOOKUP($A297,'Resumo por docente'!$A$8:$B$57,2,FALSE),""))</f>
        <v/>
      </c>
      <c r="C297" s="31"/>
      <c r="D297" s="52"/>
      <c r="E297" s="52"/>
      <c r="F297" s="38"/>
      <c r="G297" s="38"/>
      <c r="H297" s="41"/>
      <c r="I297" s="41"/>
      <c r="J297" s="41"/>
      <c r="K297" s="47" t="str">
        <f t="shared" si="5"/>
        <v/>
      </c>
      <c r="L297" s="47" t="str">
        <f t="shared" si="7"/>
        <v/>
      </c>
      <c r="M297" s="41"/>
      <c r="N297" s="38"/>
      <c r="O297" s="38"/>
      <c r="P297" s="38"/>
    </row>
    <row r="298" ht="15.75" customHeight="1">
      <c r="A298" s="52"/>
      <c r="B298" s="28" t="str">
        <f>IF($A298="","",IFERROR(VLOOKUP($A298,'Resumo por docente'!$A$8:$B$57,2,FALSE),""))</f>
        <v/>
      </c>
      <c r="C298" s="31"/>
      <c r="D298" s="52"/>
      <c r="E298" s="52"/>
      <c r="F298" s="38"/>
      <c r="G298" s="38"/>
      <c r="H298" s="41"/>
      <c r="I298" s="41"/>
      <c r="J298" s="41"/>
      <c r="K298" s="47" t="str">
        <f t="shared" si="5"/>
        <v/>
      </c>
      <c r="L298" s="47" t="str">
        <f t="shared" si="7"/>
        <v/>
      </c>
      <c r="M298" s="41"/>
      <c r="N298" s="38"/>
      <c r="O298" s="38"/>
      <c r="P298" s="38"/>
    </row>
    <row r="299" ht="15.75" customHeight="1">
      <c r="A299" s="52"/>
      <c r="B299" s="28" t="str">
        <f>IF($A299="","",IFERROR(VLOOKUP($A299,'Resumo por docente'!$A$8:$B$57,2,FALSE),""))</f>
        <v/>
      </c>
      <c r="C299" s="31"/>
      <c r="D299" s="52"/>
      <c r="E299" s="52"/>
      <c r="F299" s="38"/>
      <c r="G299" s="38"/>
      <c r="H299" s="41"/>
      <c r="I299" s="41"/>
      <c r="J299" s="41"/>
      <c r="K299" s="47" t="str">
        <f t="shared" si="5"/>
        <v/>
      </c>
      <c r="L299" s="47" t="str">
        <f t="shared" si="7"/>
        <v/>
      </c>
      <c r="M299" s="41"/>
      <c r="N299" s="38"/>
      <c r="O299" s="38"/>
      <c r="P299" s="38"/>
    </row>
    <row r="300" ht="15.75" customHeight="1">
      <c r="A300" s="52"/>
      <c r="B300" s="28" t="str">
        <f>IF($A300="","",IFERROR(VLOOKUP($A300,'Resumo por docente'!$A$8:$B$57,2,FALSE),""))</f>
        <v/>
      </c>
      <c r="C300" s="31"/>
      <c r="D300" s="52"/>
      <c r="E300" s="52"/>
      <c r="F300" s="38"/>
      <c r="G300" s="38"/>
      <c r="H300" s="41"/>
      <c r="I300" s="41"/>
      <c r="J300" s="41"/>
      <c r="K300" s="47" t="str">
        <f t="shared" si="5"/>
        <v/>
      </c>
      <c r="L300" s="47" t="str">
        <f t="shared" si="7"/>
        <v/>
      </c>
      <c r="M300" s="41"/>
      <c r="N300" s="38"/>
      <c r="O300" s="38"/>
      <c r="P300" s="38"/>
    </row>
    <row r="301" ht="15.75" customHeight="1">
      <c r="A301" s="52"/>
      <c r="B301" s="28" t="str">
        <f>IF($A301="","",IFERROR(VLOOKUP($A301,'Resumo por docente'!$A$8:$B$57,2,FALSE),""))</f>
        <v/>
      </c>
      <c r="C301" s="31"/>
      <c r="D301" s="52"/>
      <c r="E301" s="52"/>
      <c r="F301" s="38"/>
      <c r="G301" s="38"/>
      <c r="H301" s="41"/>
      <c r="I301" s="41"/>
      <c r="J301" s="41"/>
      <c r="K301" s="47" t="str">
        <f t="shared" si="5"/>
        <v/>
      </c>
      <c r="L301" s="47" t="str">
        <f t="shared" si="7"/>
        <v/>
      </c>
      <c r="M301" s="41"/>
      <c r="N301" s="38"/>
      <c r="O301" s="38"/>
      <c r="P301" s="38"/>
    </row>
    <row r="302" ht="15.75" customHeight="1">
      <c r="A302" s="52"/>
      <c r="B302" s="28" t="str">
        <f>IF($A302="","",IFERROR(VLOOKUP($A302,'Resumo por docente'!$A$8:$B$57,2,FALSE),""))</f>
        <v/>
      </c>
      <c r="C302" s="31"/>
      <c r="D302" s="52"/>
      <c r="E302" s="52"/>
      <c r="F302" s="38"/>
      <c r="G302" s="38"/>
      <c r="H302" s="41"/>
      <c r="I302" s="41"/>
      <c r="J302" s="41"/>
      <c r="K302" s="47" t="str">
        <f t="shared" si="5"/>
        <v/>
      </c>
      <c r="L302" s="47" t="str">
        <f t="shared" si="7"/>
        <v/>
      </c>
      <c r="M302" s="41"/>
      <c r="N302" s="38"/>
      <c r="O302" s="38"/>
      <c r="P302" s="38"/>
    </row>
    <row r="303" ht="15.75" customHeight="1">
      <c r="A303" s="52"/>
      <c r="B303" s="28" t="str">
        <f>IF($A303="","",IFERROR(VLOOKUP($A303,'Resumo por docente'!$A$8:$B$57,2,FALSE),""))</f>
        <v/>
      </c>
      <c r="C303" s="31"/>
      <c r="D303" s="52"/>
      <c r="E303" s="52"/>
      <c r="F303" s="38"/>
      <c r="G303" s="38"/>
      <c r="H303" s="41"/>
      <c r="I303" s="41"/>
      <c r="J303" s="41"/>
      <c r="K303" s="47" t="str">
        <f t="shared" si="5"/>
        <v/>
      </c>
      <c r="L303" s="47" t="str">
        <f t="shared" si="7"/>
        <v/>
      </c>
      <c r="M303" s="41"/>
      <c r="N303" s="38"/>
      <c r="O303" s="38"/>
      <c r="P303" s="38"/>
    </row>
    <row r="304" ht="15.75" customHeight="1">
      <c r="A304" s="52"/>
      <c r="B304" s="28" t="str">
        <f>IF($A304="","",IFERROR(VLOOKUP($A304,'Resumo por docente'!$A$8:$B$57,2,FALSE),""))</f>
        <v/>
      </c>
      <c r="C304" s="31"/>
      <c r="D304" s="52"/>
      <c r="E304" s="52"/>
      <c r="F304" s="38"/>
      <c r="G304" s="38"/>
      <c r="H304" s="41"/>
      <c r="I304" s="41"/>
      <c r="J304" s="41"/>
      <c r="K304" s="47" t="str">
        <f t="shared" si="5"/>
        <v/>
      </c>
      <c r="L304" s="47" t="str">
        <f t="shared" si="7"/>
        <v/>
      </c>
      <c r="M304" s="41"/>
      <c r="N304" s="38"/>
      <c r="O304" s="38"/>
      <c r="P304" s="38"/>
    </row>
    <row r="305" ht="15.75" customHeight="1">
      <c r="A305" s="52"/>
      <c r="B305" s="28" t="str">
        <f>IF($A305="","",IFERROR(VLOOKUP($A305,'Resumo por docente'!$A$8:$B$57,2,FALSE),""))</f>
        <v/>
      </c>
      <c r="C305" s="31"/>
      <c r="D305" s="52"/>
      <c r="E305" s="52"/>
      <c r="F305" s="38"/>
      <c r="G305" s="38"/>
      <c r="H305" s="41"/>
      <c r="I305" s="41"/>
      <c r="J305" s="41"/>
      <c r="K305" s="47" t="str">
        <f t="shared" si="5"/>
        <v/>
      </c>
      <c r="L305" s="47" t="str">
        <f t="shared" si="7"/>
        <v/>
      </c>
      <c r="M305" s="41"/>
      <c r="N305" s="38"/>
      <c r="O305" s="38"/>
      <c r="P305" s="38"/>
    </row>
    <row r="306" ht="15.75" customHeight="1">
      <c r="A306" s="52"/>
      <c r="B306" s="28" t="str">
        <f>IF($A306="","",IFERROR(VLOOKUP($A306,'Resumo por docente'!$A$8:$B$57,2,FALSE),""))</f>
        <v/>
      </c>
      <c r="C306" s="31"/>
      <c r="D306" s="52"/>
      <c r="E306" s="52"/>
      <c r="F306" s="38"/>
      <c r="G306" s="38"/>
      <c r="H306" s="41"/>
      <c r="I306" s="41"/>
      <c r="J306" s="41"/>
      <c r="K306" s="47" t="str">
        <f t="shared" si="5"/>
        <v/>
      </c>
      <c r="L306" s="47" t="str">
        <f t="shared" si="7"/>
        <v/>
      </c>
      <c r="M306" s="41"/>
      <c r="N306" s="38"/>
      <c r="O306" s="38"/>
      <c r="P306" s="38"/>
    </row>
    <row r="307" ht="15.75" customHeight="1">
      <c r="A307" s="52"/>
      <c r="B307" s="28" t="str">
        <f>IF($A307="","",IFERROR(VLOOKUP($A307,'Resumo por docente'!$A$8:$B$57,2,FALSE),""))</f>
        <v/>
      </c>
      <c r="C307" s="31"/>
      <c r="D307" s="52"/>
      <c r="E307" s="52"/>
      <c r="F307" s="38"/>
      <c r="G307" s="38"/>
      <c r="H307" s="41"/>
      <c r="I307" s="41"/>
      <c r="J307" s="41"/>
      <c r="K307" s="47" t="str">
        <f t="shared" si="5"/>
        <v/>
      </c>
      <c r="L307" s="47" t="str">
        <f t="shared" si="7"/>
        <v/>
      </c>
      <c r="M307" s="41"/>
      <c r="N307" s="38"/>
      <c r="O307" s="38"/>
      <c r="P307" s="38"/>
    </row>
    <row r="308" ht="15.75" customHeight="1">
      <c r="A308" s="52"/>
      <c r="B308" s="28" t="str">
        <f>IF($A308="","",IFERROR(VLOOKUP($A308,'Resumo por docente'!$A$8:$B$57,2,FALSE),""))</f>
        <v/>
      </c>
      <c r="C308" s="31"/>
      <c r="D308" s="52"/>
      <c r="E308" s="52"/>
      <c r="F308" s="38"/>
      <c r="G308" s="38"/>
      <c r="H308" s="41"/>
      <c r="I308" s="41"/>
      <c r="J308" s="41"/>
      <c r="K308" s="47" t="str">
        <f t="shared" si="5"/>
        <v/>
      </c>
      <c r="L308" s="47" t="str">
        <f t="shared" si="7"/>
        <v/>
      </c>
      <c r="M308" s="41"/>
      <c r="N308" s="38"/>
      <c r="O308" s="38"/>
      <c r="P308" s="38"/>
    </row>
    <row r="309" ht="15.75" customHeight="1">
      <c r="A309" s="52"/>
      <c r="B309" s="28" t="str">
        <f>IF($A309="","",IFERROR(VLOOKUP($A309,'Resumo por docente'!$A$8:$B$57,2,FALSE),""))</f>
        <v/>
      </c>
      <c r="C309" s="31"/>
      <c r="D309" s="52"/>
      <c r="E309" s="52"/>
      <c r="F309" s="38"/>
      <c r="G309" s="38"/>
      <c r="H309" s="41"/>
      <c r="I309" s="41"/>
      <c r="J309" s="41"/>
      <c r="K309" s="47" t="str">
        <f t="shared" si="5"/>
        <v/>
      </c>
      <c r="L309" s="47" t="str">
        <f t="shared" si="7"/>
        <v/>
      </c>
      <c r="M309" s="41"/>
      <c r="N309" s="38"/>
      <c r="O309" s="38"/>
      <c r="P309" s="38"/>
    </row>
    <row r="310" ht="15.75" customHeight="1">
      <c r="A310" s="52"/>
      <c r="B310" s="28" t="str">
        <f>IF($A310="","",IFERROR(VLOOKUP($A310,'Resumo por docente'!$A$8:$B$57,2,FALSE),""))</f>
        <v/>
      </c>
      <c r="C310" s="31"/>
      <c r="D310" s="52"/>
      <c r="E310" s="52"/>
      <c r="F310" s="38"/>
      <c r="G310" s="38"/>
      <c r="H310" s="41"/>
      <c r="I310" s="41"/>
      <c r="J310" s="41"/>
      <c r="K310" s="47" t="str">
        <f t="shared" si="5"/>
        <v/>
      </c>
      <c r="L310" s="47" t="str">
        <f t="shared" si="7"/>
        <v/>
      </c>
      <c r="M310" s="41"/>
      <c r="N310" s="38"/>
      <c r="O310" s="38"/>
      <c r="P310" s="38"/>
    </row>
    <row r="311" ht="15.75" customHeight="1">
      <c r="A311" s="52"/>
      <c r="B311" s="28" t="str">
        <f>IF($A311="","",IFERROR(VLOOKUP($A311,'Resumo por docente'!$A$8:$B$57,2,FALSE),""))</f>
        <v/>
      </c>
      <c r="C311" s="31"/>
      <c r="D311" s="52"/>
      <c r="E311" s="52"/>
      <c r="F311" s="38"/>
      <c r="G311" s="38"/>
      <c r="H311" s="41"/>
      <c r="I311" s="41"/>
      <c r="J311" s="41"/>
      <c r="K311" s="47" t="str">
        <f t="shared" si="5"/>
        <v/>
      </c>
      <c r="L311" s="47" t="str">
        <f t="shared" si="7"/>
        <v/>
      </c>
      <c r="M311" s="41"/>
      <c r="N311" s="38"/>
      <c r="O311" s="38"/>
      <c r="P311" s="38"/>
    </row>
    <row r="312" ht="15.75" customHeight="1">
      <c r="A312" s="52"/>
      <c r="B312" s="28" t="str">
        <f>IF($A312="","",IFERROR(VLOOKUP($A312,'Resumo por docente'!$A$8:$B$57,2,FALSE),""))</f>
        <v/>
      </c>
      <c r="C312" s="31"/>
      <c r="D312" s="52"/>
      <c r="E312" s="52"/>
      <c r="F312" s="38"/>
      <c r="G312" s="38"/>
      <c r="H312" s="41"/>
      <c r="I312" s="41"/>
      <c r="J312" s="41"/>
      <c r="K312" s="47" t="str">
        <f t="shared" si="5"/>
        <v/>
      </c>
      <c r="L312" s="47" t="str">
        <f t="shared" si="7"/>
        <v/>
      </c>
      <c r="M312" s="41"/>
      <c r="N312" s="38"/>
      <c r="O312" s="38"/>
      <c r="P312" s="38"/>
    </row>
    <row r="313" ht="15.75" customHeight="1">
      <c r="A313" s="52"/>
      <c r="B313" s="28" t="str">
        <f>IF($A313="","",IFERROR(VLOOKUP($A313,'Resumo por docente'!$A$8:$B$57,2,FALSE),""))</f>
        <v/>
      </c>
      <c r="C313" s="31"/>
      <c r="D313" s="52"/>
      <c r="E313" s="52"/>
      <c r="F313" s="38"/>
      <c r="G313" s="38"/>
      <c r="H313" s="41"/>
      <c r="I313" s="41"/>
      <c r="J313" s="41"/>
      <c r="K313" s="47" t="str">
        <f t="shared" si="5"/>
        <v/>
      </c>
      <c r="L313" s="47" t="str">
        <f t="shared" si="7"/>
        <v/>
      </c>
      <c r="M313" s="41"/>
      <c r="N313" s="38"/>
      <c r="O313" s="38"/>
      <c r="P313" s="38"/>
    </row>
    <row r="314" ht="15.75" customHeight="1">
      <c r="A314" s="52"/>
      <c r="B314" s="28" t="str">
        <f>IF($A314="","",IFERROR(VLOOKUP($A314,'Resumo por docente'!$A$8:$B$57,2,FALSE),""))</f>
        <v/>
      </c>
      <c r="C314" s="31"/>
      <c r="D314" s="52"/>
      <c r="E314" s="52"/>
      <c r="F314" s="38"/>
      <c r="G314" s="38"/>
      <c r="H314" s="41"/>
      <c r="I314" s="41"/>
      <c r="J314" s="41"/>
      <c r="K314" s="47" t="str">
        <f t="shared" si="5"/>
        <v/>
      </c>
      <c r="L314" s="47" t="str">
        <f t="shared" si="7"/>
        <v/>
      </c>
      <c r="M314" s="41"/>
      <c r="N314" s="38"/>
      <c r="O314" s="38"/>
      <c r="P314" s="38"/>
    </row>
    <row r="315" ht="15.75" customHeight="1">
      <c r="A315" s="52"/>
      <c r="B315" s="28" t="str">
        <f>IF($A315="","",IFERROR(VLOOKUP($A315,'Resumo por docente'!$A$8:$B$57,2,FALSE),""))</f>
        <v/>
      </c>
      <c r="C315" s="31"/>
      <c r="D315" s="52"/>
      <c r="E315" s="52"/>
      <c r="F315" s="38"/>
      <c r="G315" s="38"/>
      <c r="H315" s="41"/>
      <c r="I315" s="41"/>
      <c r="J315" s="41"/>
      <c r="K315" s="47" t="str">
        <f t="shared" si="5"/>
        <v/>
      </c>
      <c r="L315" s="47" t="str">
        <f t="shared" si="7"/>
        <v/>
      </c>
      <c r="M315" s="41"/>
      <c r="N315" s="38"/>
      <c r="O315" s="38"/>
      <c r="P315" s="38"/>
    </row>
    <row r="316" ht="15.75" customHeight="1">
      <c r="A316" s="52"/>
      <c r="B316" s="28" t="str">
        <f>IF($A316="","",IFERROR(VLOOKUP($A316,'Resumo por docente'!$A$8:$B$57,2,FALSE),""))</f>
        <v/>
      </c>
      <c r="C316" s="31"/>
      <c r="D316" s="52"/>
      <c r="E316" s="52"/>
      <c r="F316" s="38"/>
      <c r="G316" s="38"/>
      <c r="H316" s="41"/>
      <c r="I316" s="41"/>
      <c r="J316" s="41"/>
      <c r="K316" s="47" t="str">
        <f t="shared" si="5"/>
        <v/>
      </c>
      <c r="L316" s="47" t="str">
        <f t="shared" si="7"/>
        <v/>
      </c>
      <c r="M316" s="41"/>
      <c r="N316" s="38"/>
      <c r="O316" s="38"/>
      <c r="P316" s="38"/>
    </row>
    <row r="317" ht="15.75" customHeight="1">
      <c r="A317" s="52"/>
      <c r="B317" s="28" t="str">
        <f>IF($A317="","",IFERROR(VLOOKUP($A317,'Resumo por docente'!$A$8:$B$57,2,FALSE),""))</f>
        <v/>
      </c>
      <c r="C317" s="31"/>
      <c r="D317" s="52"/>
      <c r="E317" s="52"/>
      <c r="F317" s="38"/>
      <c r="G317" s="38"/>
      <c r="H317" s="41"/>
      <c r="I317" s="41"/>
      <c r="J317" s="41"/>
      <c r="K317" s="47" t="str">
        <f t="shared" si="5"/>
        <v/>
      </c>
      <c r="L317" s="47" t="str">
        <f t="shared" si="7"/>
        <v/>
      </c>
      <c r="M317" s="41"/>
      <c r="N317" s="38"/>
      <c r="O317" s="38"/>
      <c r="P317" s="38"/>
    </row>
    <row r="318" ht="15.75" customHeight="1">
      <c r="A318" s="52"/>
      <c r="B318" s="28" t="str">
        <f>IF($A318="","",IFERROR(VLOOKUP($A318,'Resumo por docente'!$A$8:$B$57,2,FALSE),""))</f>
        <v/>
      </c>
      <c r="C318" s="31"/>
      <c r="D318" s="52"/>
      <c r="E318" s="52"/>
      <c r="F318" s="38"/>
      <c r="G318" s="38"/>
      <c r="H318" s="41"/>
      <c r="I318" s="41"/>
      <c r="J318" s="41"/>
      <c r="K318" s="47" t="str">
        <f t="shared" si="5"/>
        <v/>
      </c>
      <c r="L318" s="47" t="str">
        <f t="shared" si="7"/>
        <v/>
      </c>
      <c r="M318" s="41"/>
      <c r="N318" s="38"/>
      <c r="O318" s="38"/>
      <c r="P318" s="38"/>
    </row>
    <row r="319" ht="15.75" customHeight="1">
      <c r="A319" s="52"/>
      <c r="B319" s="28" t="str">
        <f>IF($A319="","",IFERROR(VLOOKUP($A319,'Resumo por docente'!$A$8:$B$57,2,FALSE),""))</f>
        <v/>
      </c>
      <c r="C319" s="31"/>
      <c r="D319" s="52"/>
      <c r="E319" s="52"/>
      <c r="F319" s="38"/>
      <c r="G319" s="38"/>
      <c r="H319" s="41"/>
      <c r="I319" s="41"/>
      <c r="J319" s="41"/>
      <c r="K319" s="47" t="str">
        <f t="shared" si="5"/>
        <v/>
      </c>
      <c r="L319" s="47" t="str">
        <f t="shared" si="7"/>
        <v/>
      </c>
      <c r="M319" s="41"/>
      <c r="N319" s="38"/>
      <c r="O319" s="38"/>
      <c r="P319" s="38"/>
    </row>
    <row r="320" ht="15.75" customHeight="1">
      <c r="A320" s="52"/>
      <c r="B320" s="28" t="str">
        <f>IF($A320="","",IFERROR(VLOOKUP($A320,'Resumo por docente'!$A$8:$B$57,2,FALSE),""))</f>
        <v/>
      </c>
      <c r="C320" s="31"/>
      <c r="D320" s="52"/>
      <c r="E320" s="52"/>
      <c r="F320" s="38"/>
      <c r="G320" s="38"/>
      <c r="H320" s="41"/>
      <c r="I320" s="41"/>
      <c r="J320" s="41"/>
      <c r="K320" s="47" t="str">
        <f t="shared" si="5"/>
        <v/>
      </c>
      <c r="L320" s="47" t="str">
        <f t="shared" si="7"/>
        <v/>
      </c>
      <c r="M320" s="41"/>
      <c r="N320" s="38"/>
      <c r="O320" s="38"/>
      <c r="P320" s="38"/>
    </row>
    <row r="321" ht="15.75" customHeight="1">
      <c r="A321" s="52"/>
      <c r="B321" s="28" t="str">
        <f>IF($A321="","",IFERROR(VLOOKUP($A321,'Resumo por docente'!$A$8:$B$57,2,FALSE),""))</f>
        <v/>
      </c>
      <c r="C321" s="31"/>
      <c r="D321" s="52"/>
      <c r="E321" s="52"/>
      <c r="F321" s="38"/>
      <c r="G321" s="38"/>
      <c r="H321" s="41"/>
      <c r="I321" s="41"/>
      <c r="J321" s="41"/>
      <c r="K321" s="47" t="str">
        <f t="shared" si="5"/>
        <v/>
      </c>
      <c r="L321" s="47" t="str">
        <f t="shared" si="7"/>
        <v/>
      </c>
      <c r="M321" s="41"/>
      <c r="N321" s="38"/>
      <c r="O321" s="38"/>
      <c r="P321" s="38"/>
    </row>
    <row r="322" ht="15.75" customHeight="1">
      <c r="A322" s="52"/>
      <c r="B322" s="28" t="str">
        <f>IF($A322="","",IFERROR(VLOOKUP($A322,'Resumo por docente'!$A$8:$B$57,2,FALSE),""))</f>
        <v/>
      </c>
      <c r="C322" s="31"/>
      <c r="D322" s="52"/>
      <c r="E322" s="52"/>
      <c r="F322" s="38"/>
      <c r="G322" s="38"/>
      <c r="H322" s="41"/>
      <c r="I322" s="41"/>
      <c r="J322" s="41"/>
      <c r="K322" s="47" t="str">
        <f t="shared" si="5"/>
        <v/>
      </c>
      <c r="L322" s="47" t="str">
        <f t="shared" si="7"/>
        <v/>
      </c>
      <c r="M322" s="41"/>
      <c r="N322" s="38"/>
      <c r="O322" s="38"/>
      <c r="P322" s="38"/>
    </row>
    <row r="323" ht="15.75" customHeight="1">
      <c r="A323" s="52"/>
      <c r="B323" s="28" t="str">
        <f>IF($A323="","",IFERROR(VLOOKUP($A323,'Resumo por docente'!$A$8:$B$57,2,FALSE),""))</f>
        <v/>
      </c>
      <c r="C323" s="31"/>
      <c r="D323" s="52"/>
      <c r="E323" s="52"/>
      <c r="F323" s="38"/>
      <c r="G323" s="38"/>
      <c r="H323" s="41"/>
      <c r="I323" s="41"/>
      <c r="J323" s="41"/>
      <c r="K323" s="47" t="str">
        <f t="shared" si="5"/>
        <v/>
      </c>
      <c r="L323" s="47" t="str">
        <f t="shared" si="7"/>
        <v/>
      </c>
      <c r="M323" s="41"/>
      <c r="N323" s="38"/>
      <c r="O323" s="38"/>
      <c r="P323" s="38"/>
    </row>
    <row r="324" ht="15.75" customHeight="1">
      <c r="A324" s="52"/>
      <c r="B324" s="28" t="str">
        <f>IF($A324="","",IFERROR(VLOOKUP($A324,'Resumo por docente'!$A$8:$B$57,2,FALSE),""))</f>
        <v/>
      </c>
      <c r="C324" s="31"/>
      <c r="D324" s="52"/>
      <c r="E324" s="52"/>
      <c r="F324" s="38"/>
      <c r="G324" s="38"/>
      <c r="H324" s="41"/>
      <c r="I324" s="41"/>
      <c r="J324" s="41"/>
      <c r="K324" s="47" t="str">
        <f t="shared" si="5"/>
        <v/>
      </c>
      <c r="L324" s="47" t="str">
        <f t="shared" si="7"/>
        <v/>
      </c>
      <c r="M324" s="41"/>
      <c r="N324" s="38"/>
      <c r="O324" s="38"/>
      <c r="P324" s="38"/>
    </row>
    <row r="325" ht="15.75" customHeight="1">
      <c r="A325" s="52"/>
      <c r="B325" s="28" t="str">
        <f>IF($A325="","",IFERROR(VLOOKUP($A325,'Resumo por docente'!$A$8:$B$57,2,FALSE),""))</f>
        <v/>
      </c>
      <c r="C325" s="31"/>
      <c r="D325" s="52"/>
      <c r="E325" s="52"/>
      <c r="F325" s="38"/>
      <c r="G325" s="38"/>
      <c r="H325" s="41"/>
      <c r="I325" s="41"/>
      <c r="J325" s="41"/>
      <c r="K325" s="47" t="str">
        <f t="shared" si="5"/>
        <v/>
      </c>
      <c r="L325" s="47" t="str">
        <f t="shared" si="7"/>
        <v/>
      </c>
      <c r="M325" s="41"/>
      <c r="N325" s="38"/>
      <c r="O325" s="38"/>
      <c r="P325" s="38"/>
    </row>
    <row r="326" ht="15.75" customHeight="1">
      <c r="A326" s="52"/>
      <c r="B326" s="28" t="str">
        <f>IF($A326="","",IFERROR(VLOOKUP($A326,'Resumo por docente'!$A$8:$B$57,2,FALSE),""))</f>
        <v/>
      </c>
      <c r="C326" s="31"/>
      <c r="D326" s="52"/>
      <c r="E326" s="52"/>
      <c r="F326" s="38"/>
      <c r="G326" s="38"/>
      <c r="H326" s="41"/>
      <c r="I326" s="41"/>
      <c r="J326" s="41"/>
      <c r="K326" s="47" t="str">
        <f t="shared" si="5"/>
        <v/>
      </c>
      <c r="L326" s="47" t="str">
        <f t="shared" si="7"/>
        <v/>
      </c>
      <c r="M326" s="41"/>
      <c r="N326" s="38"/>
      <c r="O326" s="38"/>
      <c r="P326" s="38"/>
    </row>
    <row r="327" ht="15.75" customHeight="1">
      <c r="A327" s="52"/>
      <c r="B327" s="28" t="str">
        <f>IF($A327="","",IFERROR(VLOOKUP($A327,'Resumo por docente'!$A$8:$B$57,2,FALSE),""))</f>
        <v/>
      </c>
      <c r="C327" s="31"/>
      <c r="D327" s="52"/>
      <c r="E327" s="52"/>
      <c r="F327" s="38"/>
      <c r="G327" s="38"/>
      <c r="H327" s="41"/>
      <c r="I327" s="41"/>
      <c r="J327" s="41"/>
      <c r="K327" s="47" t="str">
        <f t="shared" si="5"/>
        <v/>
      </c>
      <c r="L327" s="47" t="str">
        <f t="shared" si="7"/>
        <v/>
      </c>
      <c r="M327" s="41"/>
      <c r="N327" s="38"/>
      <c r="O327" s="38"/>
      <c r="P327" s="38"/>
    </row>
    <row r="328" ht="15.75" customHeight="1">
      <c r="A328" s="52"/>
      <c r="B328" s="28" t="str">
        <f>IF($A328="","",IFERROR(VLOOKUP($A328,'Resumo por docente'!$A$8:$B$57,2,FALSE),""))</f>
        <v/>
      </c>
      <c r="C328" s="31"/>
      <c r="D328" s="52"/>
      <c r="E328" s="52"/>
      <c r="F328" s="38"/>
      <c r="G328" s="38"/>
      <c r="H328" s="41"/>
      <c r="I328" s="41"/>
      <c r="J328" s="41"/>
      <c r="K328" s="47" t="str">
        <f t="shared" si="5"/>
        <v/>
      </c>
      <c r="L328" s="47" t="str">
        <f t="shared" si="7"/>
        <v/>
      </c>
      <c r="M328" s="41"/>
      <c r="N328" s="38"/>
      <c r="O328" s="38"/>
      <c r="P328" s="38"/>
    </row>
    <row r="329" ht="15.75" customHeight="1">
      <c r="A329" s="52"/>
      <c r="B329" s="28" t="str">
        <f>IF($A329="","",IFERROR(VLOOKUP($A329,'Resumo por docente'!$A$8:$B$57,2,FALSE),""))</f>
        <v/>
      </c>
      <c r="C329" s="31"/>
      <c r="D329" s="52"/>
      <c r="E329" s="52"/>
      <c r="F329" s="38"/>
      <c r="G329" s="38"/>
      <c r="H329" s="41"/>
      <c r="I329" s="41"/>
      <c r="J329" s="41"/>
      <c r="K329" s="47" t="str">
        <f t="shared" si="5"/>
        <v/>
      </c>
      <c r="L329" s="47" t="str">
        <f t="shared" si="7"/>
        <v/>
      </c>
      <c r="M329" s="41"/>
      <c r="N329" s="38"/>
      <c r="O329" s="38"/>
      <c r="P329" s="38"/>
    </row>
    <row r="330" ht="15.75" customHeight="1">
      <c r="A330" s="52"/>
      <c r="B330" s="28" t="str">
        <f>IF($A330="","",IFERROR(VLOOKUP($A330,'Resumo por docente'!$A$8:$B$57,2,FALSE),""))</f>
        <v/>
      </c>
      <c r="C330" s="31"/>
      <c r="D330" s="52"/>
      <c r="E330" s="52"/>
      <c r="F330" s="38"/>
      <c r="G330" s="38"/>
      <c r="H330" s="41"/>
      <c r="I330" s="41"/>
      <c r="J330" s="41"/>
      <c r="K330" s="47" t="str">
        <f t="shared" si="5"/>
        <v/>
      </c>
      <c r="L330" s="47" t="str">
        <f t="shared" si="7"/>
        <v/>
      </c>
      <c r="M330" s="41"/>
      <c r="N330" s="38"/>
      <c r="O330" s="38"/>
      <c r="P330" s="38"/>
    </row>
    <row r="331" ht="15.75" customHeight="1">
      <c r="A331" s="52"/>
      <c r="B331" s="28" t="str">
        <f>IF($A331="","",IFERROR(VLOOKUP($A331,'Resumo por docente'!$A$8:$B$57,2,FALSE),""))</f>
        <v/>
      </c>
      <c r="C331" s="31"/>
      <c r="D331" s="52"/>
      <c r="E331" s="52"/>
      <c r="F331" s="38"/>
      <c r="G331" s="38"/>
      <c r="H331" s="41"/>
      <c r="I331" s="41"/>
      <c r="J331" s="41"/>
      <c r="K331" s="47" t="str">
        <f t="shared" si="5"/>
        <v/>
      </c>
      <c r="L331" s="47" t="str">
        <f t="shared" si="7"/>
        <v/>
      </c>
      <c r="M331" s="41"/>
      <c r="N331" s="38"/>
      <c r="O331" s="38"/>
      <c r="P331" s="38"/>
    </row>
    <row r="332" ht="15.75" customHeight="1">
      <c r="A332" s="52"/>
      <c r="B332" s="28" t="str">
        <f>IF($A332="","",IFERROR(VLOOKUP($A332,'Resumo por docente'!$A$8:$B$57,2,FALSE),""))</f>
        <v/>
      </c>
      <c r="C332" s="31"/>
      <c r="D332" s="52"/>
      <c r="E332" s="52"/>
      <c r="F332" s="38"/>
      <c r="G332" s="38"/>
      <c r="H332" s="41"/>
      <c r="I332" s="41"/>
      <c r="J332" s="41"/>
      <c r="K332" s="47" t="str">
        <f t="shared" si="5"/>
        <v/>
      </c>
      <c r="L332" s="47" t="str">
        <f t="shared" si="7"/>
        <v/>
      </c>
      <c r="M332" s="41"/>
      <c r="N332" s="38"/>
      <c r="O332" s="38"/>
      <c r="P332" s="38"/>
    </row>
    <row r="333" ht="15.75" customHeight="1">
      <c r="A333" s="52"/>
      <c r="B333" s="28" t="str">
        <f>IF($A333="","",IFERROR(VLOOKUP($A333,'Resumo por docente'!$A$8:$B$57,2,FALSE),""))</f>
        <v/>
      </c>
      <c r="C333" s="31"/>
      <c r="D333" s="52"/>
      <c r="E333" s="52"/>
      <c r="F333" s="38"/>
      <c r="G333" s="38"/>
      <c r="H333" s="41"/>
      <c r="I333" s="41"/>
      <c r="J333" s="41"/>
      <c r="K333" s="47" t="str">
        <f t="shared" si="5"/>
        <v/>
      </c>
      <c r="L333" s="47" t="str">
        <f t="shared" si="7"/>
        <v/>
      </c>
      <c r="M333" s="41"/>
      <c r="N333" s="38"/>
      <c r="O333" s="38"/>
      <c r="P333" s="38"/>
    </row>
    <row r="334" ht="15.75" customHeight="1">
      <c r="A334" s="52"/>
      <c r="B334" s="28" t="str">
        <f>IF($A334="","",IFERROR(VLOOKUP($A334,'Resumo por docente'!$A$8:$B$57,2,FALSE),""))</f>
        <v/>
      </c>
      <c r="C334" s="31"/>
      <c r="D334" s="52"/>
      <c r="E334" s="52"/>
      <c r="F334" s="38"/>
      <c r="G334" s="38"/>
      <c r="H334" s="41"/>
      <c r="I334" s="41"/>
      <c r="J334" s="41"/>
      <c r="K334" s="47" t="str">
        <f t="shared" si="5"/>
        <v/>
      </c>
      <c r="L334" s="47" t="str">
        <f t="shared" si="7"/>
        <v/>
      </c>
      <c r="M334" s="41"/>
      <c r="N334" s="38"/>
      <c r="O334" s="38"/>
      <c r="P334" s="38"/>
    </row>
    <row r="335" ht="15.75" customHeight="1">
      <c r="A335" s="52"/>
      <c r="B335" s="28" t="str">
        <f>IF($A335="","",IFERROR(VLOOKUP($A335,'Resumo por docente'!$A$8:$B$57,2,FALSE),""))</f>
        <v/>
      </c>
      <c r="C335" s="31"/>
      <c r="D335" s="52"/>
      <c r="E335" s="52"/>
      <c r="F335" s="38"/>
      <c r="G335" s="38"/>
      <c r="H335" s="41"/>
      <c r="I335" s="41"/>
      <c r="J335" s="41"/>
      <c r="K335" s="47" t="str">
        <f t="shared" si="5"/>
        <v/>
      </c>
      <c r="L335" s="47" t="str">
        <f t="shared" si="7"/>
        <v/>
      </c>
      <c r="M335" s="41"/>
      <c r="N335" s="38"/>
      <c r="O335" s="38"/>
      <c r="P335" s="38"/>
    </row>
    <row r="336" ht="15.75" customHeight="1">
      <c r="A336" s="52"/>
      <c r="B336" s="28" t="str">
        <f>IF($A336="","",IFERROR(VLOOKUP($A336,'Resumo por docente'!$A$8:$B$57,2,FALSE),""))</f>
        <v/>
      </c>
      <c r="C336" s="31"/>
      <c r="D336" s="52"/>
      <c r="E336" s="52"/>
      <c r="F336" s="38"/>
      <c r="G336" s="38"/>
      <c r="H336" s="41"/>
      <c r="I336" s="41"/>
      <c r="J336" s="41"/>
      <c r="K336" s="47" t="str">
        <f t="shared" si="5"/>
        <v/>
      </c>
      <c r="L336" s="47" t="str">
        <f t="shared" si="7"/>
        <v/>
      </c>
      <c r="M336" s="41"/>
      <c r="N336" s="38"/>
      <c r="O336" s="38"/>
      <c r="P336" s="38"/>
    </row>
    <row r="337" ht="15.75" customHeight="1">
      <c r="A337" s="52"/>
      <c r="B337" s="28" t="str">
        <f>IF($A337="","",IFERROR(VLOOKUP($A337,'Resumo por docente'!$A$8:$B$57,2,FALSE),""))</f>
        <v/>
      </c>
      <c r="C337" s="31"/>
      <c r="D337" s="52"/>
      <c r="E337" s="52"/>
      <c r="F337" s="38"/>
      <c r="G337" s="38"/>
      <c r="H337" s="41"/>
      <c r="I337" s="41"/>
      <c r="J337" s="41"/>
      <c r="K337" s="47" t="str">
        <f t="shared" si="5"/>
        <v/>
      </c>
      <c r="L337" s="47" t="str">
        <f t="shared" si="7"/>
        <v/>
      </c>
      <c r="M337" s="41"/>
      <c r="N337" s="38"/>
      <c r="O337" s="38"/>
      <c r="P337" s="38"/>
    </row>
    <row r="338" ht="15.75" customHeight="1">
      <c r="A338" s="52"/>
      <c r="B338" s="28" t="str">
        <f>IF($A338="","",IFERROR(VLOOKUP($A338,'Resumo por docente'!$A$8:$B$57,2,FALSE),""))</f>
        <v/>
      </c>
      <c r="C338" s="31"/>
      <c r="D338" s="52"/>
      <c r="E338" s="52"/>
      <c r="F338" s="38"/>
      <c r="G338" s="38"/>
      <c r="H338" s="41"/>
      <c r="I338" s="41"/>
      <c r="J338" s="41"/>
      <c r="K338" s="47" t="str">
        <f t="shared" si="5"/>
        <v/>
      </c>
      <c r="L338" s="47" t="str">
        <f t="shared" si="7"/>
        <v/>
      </c>
      <c r="M338" s="41"/>
      <c r="N338" s="38"/>
      <c r="O338" s="38"/>
      <c r="P338" s="38"/>
    </row>
    <row r="339" ht="15.75" customHeight="1">
      <c r="A339" s="52"/>
      <c r="B339" s="28" t="str">
        <f>IF($A339="","",IFERROR(VLOOKUP($A339,'Resumo por docente'!$A$8:$B$57,2,FALSE),""))</f>
        <v/>
      </c>
      <c r="C339" s="31"/>
      <c r="D339" s="52"/>
      <c r="E339" s="52"/>
      <c r="F339" s="38"/>
      <c r="G339" s="38"/>
      <c r="H339" s="41"/>
      <c r="I339" s="41"/>
      <c r="J339" s="41"/>
      <c r="K339" s="47" t="str">
        <f t="shared" si="5"/>
        <v/>
      </c>
      <c r="L339" s="47" t="str">
        <f t="shared" si="7"/>
        <v/>
      </c>
      <c r="M339" s="41"/>
      <c r="N339" s="38"/>
      <c r="O339" s="38"/>
      <c r="P339" s="38"/>
    </row>
    <row r="340" ht="15.75" customHeight="1">
      <c r="A340" s="52"/>
      <c r="B340" s="28" t="str">
        <f>IF($A340="","",IFERROR(VLOOKUP($A340,'Resumo por docente'!$A$8:$B$57,2,FALSE),""))</f>
        <v/>
      </c>
      <c r="C340" s="31"/>
      <c r="D340" s="52"/>
      <c r="E340" s="52"/>
      <c r="F340" s="38"/>
      <c r="G340" s="38"/>
      <c r="H340" s="41"/>
      <c r="I340" s="41"/>
      <c r="J340" s="41"/>
      <c r="K340" s="47" t="str">
        <f t="shared" si="5"/>
        <v/>
      </c>
      <c r="L340" s="47" t="str">
        <f t="shared" si="7"/>
        <v/>
      </c>
      <c r="M340" s="41"/>
      <c r="N340" s="38"/>
      <c r="O340" s="38"/>
      <c r="P340" s="38"/>
    </row>
    <row r="341" ht="15.75" customHeight="1">
      <c r="A341" s="52"/>
      <c r="B341" s="28" t="str">
        <f>IF($A341="","",IFERROR(VLOOKUP($A341,'Resumo por docente'!$A$8:$B$57,2,FALSE),""))</f>
        <v/>
      </c>
      <c r="C341" s="31"/>
      <c r="D341" s="52"/>
      <c r="E341" s="52"/>
      <c r="F341" s="38"/>
      <c r="G341" s="38"/>
      <c r="H341" s="41"/>
      <c r="I341" s="41"/>
      <c r="J341" s="41"/>
      <c r="K341" s="47" t="str">
        <f t="shared" si="5"/>
        <v/>
      </c>
      <c r="L341" s="47" t="str">
        <f t="shared" si="7"/>
        <v/>
      </c>
      <c r="M341" s="41"/>
      <c r="N341" s="38"/>
      <c r="O341" s="38"/>
      <c r="P341" s="38"/>
    </row>
    <row r="342" ht="15.75" customHeight="1">
      <c r="A342" s="52"/>
      <c r="B342" s="28" t="str">
        <f>IF($A342="","",IFERROR(VLOOKUP($A342,'Resumo por docente'!$A$8:$B$57,2,FALSE),""))</f>
        <v/>
      </c>
      <c r="C342" s="31"/>
      <c r="D342" s="52"/>
      <c r="E342" s="52"/>
      <c r="F342" s="38"/>
      <c r="G342" s="38"/>
      <c r="H342" s="41"/>
      <c r="I342" s="41"/>
      <c r="J342" s="41"/>
      <c r="K342" s="47" t="str">
        <f t="shared" si="5"/>
        <v/>
      </c>
      <c r="L342" s="47" t="str">
        <f t="shared" si="7"/>
        <v/>
      </c>
      <c r="M342" s="41"/>
      <c r="N342" s="38"/>
      <c r="O342" s="38"/>
      <c r="P342" s="38"/>
    </row>
    <row r="343" ht="15.75" customHeight="1">
      <c r="A343" s="52"/>
      <c r="B343" s="28" t="str">
        <f>IF($A343="","",IFERROR(VLOOKUP($A343,'Resumo por docente'!$A$8:$B$57,2,FALSE),""))</f>
        <v/>
      </c>
      <c r="C343" s="31"/>
      <c r="D343" s="52"/>
      <c r="E343" s="52"/>
      <c r="F343" s="38"/>
      <c r="G343" s="38"/>
      <c r="H343" s="41"/>
      <c r="I343" s="41"/>
      <c r="J343" s="41"/>
      <c r="K343" s="47" t="str">
        <f t="shared" si="5"/>
        <v/>
      </c>
      <c r="L343" s="47" t="str">
        <f t="shared" si="7"/>
        <v/>
      </c>
      <c r="M343" s="41"/>
      <c r="N343" s="38"/>
      <c r="O343" s="38"/>
      <c r="P343" s="38"/>
    </row>
    <row r="344" ht="15.75" customHeight="1">
      <c r="A344" s="52"/>
      <c r="B344" s="28" t="str">
        <f>IF($A344="","",IFERROR(VLOOKUP($A344,'Resumo por docente'!$A$8:$B$57,2,FALSE),""))</f>
        <v/>
      </c>
      <c r="C344" s="31"/>
      <c r="D344" s="52"/>
      <c r="E344" s="52"/>
      <c r="F344" s="38"/>
      <c r="G344" s="38"/>
      <c r="H344" s="41"/>
      <c r="I344" s="41"/>
      <c r="J344" s="41"/>
      <c r="K344" s="47" t="str">
        <f t="shared" si="5"/>
        <v/>
      </c>
      <c r="L344" s="47" t="str">
        <f t="shared" si="7"/>
        <v/>
      </c>
      <c r="M344" s="41"/>
      <c r="N344" s="38"/>
      <c r="O344" s="38"/>
      <c r="P344" s="38"/>
    </row>
    <row r="345" ht="15.75" customHeight="1">
      <c r="A345" s="52"/>
      <c r="B345" s="28" t="str">
        <f>IF($A345="","",IFERROR(VLOOKUP($A345,'Resumo por docente'!$A$8:$B$57,2,FALSE),""))</f>
        <v/>
      </c>
      <c r="C345" s="31"/>
      <c r="D345" s="52"/>
      <c r="E345" s="52"/>
      <c r="F345" s="38"/>
      <c r="G345" s="38"/>
      <c r="H345" s="41"/>
      <c r="I345" s="41"/>
      <c r="J345" s="41"/>
      <c r="K345" s="47" t="str">
        <f t="shared" si="5"/>
        <v/>
      </c>
      <c r="L345" s="47" t="str">
        <f t="shared" si="7"/>
        <v/>
      </c>
      <c r="M345" s="41"/>
      <c r="N345" s="38"/>
      <c r="O345" s="38"/>
      <c r="P345" s="38"/>
    </row>
    <row r="346" ht="15.75" customHeight="1">
      <c r="A346" s="52"/>
      <c r="B346" s="28" t="str">
        <f>IF($A346="","",IFERROR(VLOOKUP($A346,'Resumo por docente'!$A$8:$B$57,2,FALSE),""))</f>
        <v/>
      </c>
      <c r="C346" s="31"/>
      <c r="D346" s="52"/>
      <c r="E346" s="52"/>
      <c r="F346" s="38"/>
      <c r="G346" s="38"/>
      <c r="H346" s="41"/>
      <c r="I346" s="41"/>
      <c r="J346" s="41"/>
      <c r="K346" s="47" t="str">
        <f t="shared" si="5"/>
        <v/>
      </c>
      <c r="L346" s="47" t="str">
        <f t="shared" si="7"/>
        <v/>
      </c>
      <c r="M346" s="41"/>
      <c r="N346" s="38"/>
      <c r="O346" s="38"/>
      <c r="P346" s="38"/>
    </row>
    <row r="347" ht="15.75" customHeight="1">
      <c r="A347" s="52"/>
      <c r="B347" s="28" t="str">
        <f>IF($A347="","",IFERROR(VLOOKUP($A347,'Resumo por docente'!$A$8:$B$57,2,FALSE),""))</f>
        <v/>
      </c>
      <c r="C347" s="31"/>
      <c r="D347" s="52"/>
      <c r="E347" s="52"/>
      <c r="F347" s="38"/>
      <c r="G347" s="38"/>
      <c r="H347" s="41"/>
      <c r="I347" s="41"/>
      <c r="J347" s="41"/>
      <c r="K347" s="47" t="str">
        <f t="shared" si="5"/>
        <v/>
      </c>
      <c r="L347" s="47" t="str">
        <f t="shared" si="7"/>
        <v/>
      </c>
      <c r="M347" s="41"/>
      <c r="N347" s="38"/>
      <c r="O347" s="38"/>
      <c r="P347" s="38"/>
    </row>
    <row r="348" ht="15.75" customHeight="1">
      <c r="A348" s="52"/>
      <c r="B348" s="28" t="str">
        <f>IF($A348="","",IFERROR(VLOOKUP($A348,'Resumo por docente'!$A$8:$B$57,2,FALSE),""))</f>
        <v/>
      </c>
      <c r="C348" s="31"/>
      <c r="D348" s="52"/>
      <c r="E348" s="52"/>
      <c r="F348" s="38"/>
      <c r="G348" s="38"/>
      <c r="H348" s="41"/>
      <c r="I348" s="41"/>
      <c r="J348" s="41"/>
      <c r="K348" s="47" t="str">
        <f t="shared" si="5"/>
        <v/>
      </c>
      <c r="L348" s="47" t="str">
        <f t="shared" si="7"/>
        <v/>
      </c>
      <c r="M348" s="41"/>
      <c r="N348" s="38"/>
      <c r="O348" s="38"/>
      <c r="P348" s="38"/>
    </row>
    <row r="349" ht="15.75" customHeight="1">
      <c r="A349" s="52"/>
      <c r="B349" s="28" t="str">
        <f>IF($A349="","",IFERROR(VLOOKUP($A349,'Resumo por docente'!$A$8:$B$57,2,FALSE),""))</f>
        <v/>
      </c>
      <c r="C349" s="31"/>
      <c r="D349" s="52"/>
      <c r="E349" s="52"/>
      <c r="F349" s="38"/>
      <c r="G349" s="38"/>
      <c r="H349" s="41"/>
      <c r="I349" s="41"/>
      <c r="J349" s="41"/>
      <c r="K349" s="47" t="str">
        <f t="shared" si="5"/>
        <v/>
      </c>
      <c r="L349" s="47" t="str">
        <f t="shared" si="7"/>
        <v/>
      </c>
      <c r="M349" s="41"/>
      <c r="N349" s="38"/>
      <c r="O349" s="38"/>
      <c r="P349" s="38"/>
    </row>
    <row r="350" ht="15.75" customHeight="1">
      <c r="A350" s="52"/>
      <c r="B350" s="28" t="str">
        <f>IF($A350="","",IFERROR(VLOOKUP($A350,'Resumo por docente'!$A$8:$B$57,2,FALSE),""))</f>
        <v/>
      </c>
      <c r="C350" s="31"/>
      <c r="D350" s="52"/>
      <c r="E350" s="52"/>
      <c r="F350" s="38"/>
      <c r="G350" s="38"/>
      <c r="H350" s="41"/>
      <c r="I350" s="41"/>
      <c r="J350" s="41"/>
      <c r="K350" s="47" t="str">
        <f t="shared" si="5"/>
        <v/>
      </c>
      <c r="L350" s="47" t="str">
        <f t="shared" si="7"/>
        <v/>
      </c>
      <c r="M350" s="41"/>
      <c r="N350" s="38"/>
      <c r="O350" s="38"/>
      <c r="P350" s="38"/>
    </row>
    <row r="351" ht="15.75" customHeight="1">
      <c r="A351" s="52"/>
      <c r="B351" s="28" t="str">
        <f>IF($A351="","",IFERROR(VLOOKUP($A351,'Resumo por docente'!$A$8:$B$57,2,FALSE),""))</f>
        <v/>
      </c>
      <c r="C351" s="31"/>
      <c r="D351" s="52"/>
      <c r="E351" s="52"/>
      <c r="F351" s="38"/>
      <c r="G351" s="38"/>
      <c r="H351" s="41"/>
      <c r="I351" s="41"/>
      <c r="J351" s="41"/>
      <c r="K351" s="47" t="str">
        <f t="shared" si="5"/>
        <v/>
      </c>
      <c r="L351" s="47" t="str">
        <f t="shared" si="7"/>
        <v/>
      </c>
      <c r="M351" s="41"/>
      <c r="N351" s="38"/>
      <c r="O351" s="38"/>
      <c r="P351" s="38"/>
    </row>
    <row r="352" ht="15.75" customHeight="1">
      <c r="A352" s="52"/>
      <c r="B352" s="28" t="str">
        <f>IF($A352="","",IFERROR(VLOOKUP($A352,'Resumo por docente'!$A$8:$B$57,2,FALSE),""))</f>
        <v/>
      </c>
      <c r="C352" s="31"/>
      <c r="D352" s="52"/>
      <c r="E352" s="52"/>
      <c r="F352" s="38"/>
      <c r="G352" s="38"/>
      <c r="H352" s="41"/>
      <c r="I352" s="41"/>
      <c r="J352" s="41"/>
      <c r="K352" s="47" t="str">
        <f t="shared" si="5"/>
        <v/>
      </c>
      <c r="L352" s="47" t="str">
        <f t="shared" si="7"/>
        <v/>
      </c>
      <c r="M352" s="41"/>
      <c r="N352" s="38"/>
      <c r="O352" s="38"/>
      <c r="P352" s="38"/>
    </row>
    <row r="353" ht="15.75" customHeight="1">
      <c r="A353" s="52"/>
      <c r="B353" s="28" t="str">
        <f>IF($A353="","",IFERROR(VLOOKUP($A353,'Resumo por docente'!$A$8:$B$57,2,FALSE),""))</f>
        <v/>
      </c>
      <c r="C353" s="31"/>
      <c r="D353" s="52"/>
      <c r="E353" s="52"/>
      <c r="F353" s="38"/>
      <c r="G353" s="38"/>
      <c r="H353" s="41"/>
      <c r="I353" s="41"/>
      <c r="J353" s="41"/>
      <c r="K353" s="47" t="str">
        <f t="shared" si="5"/>
        <v/>
      </c>
      <c r="L353" s="47" t="str">
        <f t="shared" si="7"/>
        <v/>
      </c>
      <c r="M353" s="41"/>
      <c r="N353" s="38"/>
      <c r="O353" s="38"/>
      <c r="P353" s="38"/>
    </row>
    <row r="354" ht="15.75" customHeight="1">
      <c r="A354" s="52"/>
      <c r="B354" s="28" t="str">
        <f>IF($A354="","",IFERROR(VLOOKUP($A354,'Resumo por docente'!$A$8:$B$57,2,FALSE),""))</f>
        <v/>
      </c>
      <c r="C354" s="31"/>
      <c r="D354" s="52"/>
      <c r="E354" s="52"/>
      <c r="F354" s="38"/>
      <c r="G354" s="38"/>
      <c r="H354" s="41"/>
      <c r="I354" s="41"/>
      <c r="J354" s="41"/>
      <c r="K354" s="47" t="str">
        <f t="shared" si="5"/>
        <v/>
      </c>
      <c r="L354" s="47" t="str">
        <f t="shared" si="7"/>
        <v/>
      </c>
      <c r="M354" s="41"/>
      <c r="N354" s="38"/>
      <c r="O354" s="38"/>
      <c r="P354" s="38"/>
    </row>
    <row r="355" ht="15.75" customHeight="1">
      <c r="A355" s="52"/>
      <c r="B355" s="28" t="str">
        <f>IF($A355="","",IFERROR(VLOOKUP($A355,'Resumo por docente'!$A$8:$B$57,2,FALSE),""))</f>
        <v/>
      </c>
      <c r="C355" s="31"/>
      <c r="D355" s="52"/>
      <c r="E355" s="52"/>
      <c r="F355" s="38"/>
      <c r="G355" s="38"/>
      <c r="H355" s="41"/>
      <c r="I355" s="41"/>
      <c r="J355" s="41"/>
      <c r="K355" s="47" t="str">
        <f t="shared" si="5"/>
        <v/>
      </c>
      <c r="L355" s="47" t="str">
        <f t="shared" si="7"/>
        <v/>
      </c>
      <c r="M355" s="41"/>
      <c r="N355" s="38"/>
      <c r="O355" s="38"/>
      <c r="P355" s="38"/>
    </row>
    <row r="356" ht="15.75" customHeight="1">
      <c r="A356" s="52"/>
      <c r="B356" s="28" t="str">
        <f>IF($A356="","",IFERROR(VLOOKUP($A356,'Resumo por docente'!$A$8:$B$57,2,FALSE),""))</f>
        <v/>
      </c>
      <c r="C356" s="31"/>
      <c r="D356" s="52"/>
      <c r="E356" s="52"/>
      <c r="F356" s="38"/>
      <c r="G356" s="38"/>
      <c r="H356" s="41"/>
      <c r="I356" s="41"/>
      <c r="J356" s="41"/>
      <c r="K356" s="47" t="str">
        <f t="shared" si="5"/>
        <v/>
      </c>
      <c r="L356" s="47" t="str">
        <f t="shared" si="7"/>
        <v/>
      </c>
      <c r="M356" s="41"/>
      <c r="N356" s="38"/>
      <c r="O356" s="38"/>
      <c r="P356" s="38"/>
    </row>
    <row r="357" ht="15.75" customHeight="1">
      <c r="A357" s="52"/>
      <c r="B357" s="28" t="str">
        <f>IF($A357="","",IFERROR(VLOOKUP($A357,'Resumo por docente'!$A$8:$B$57,2,FALSE),""))</f>
        <v/>
      </c>
      <c r="C357" s="31"/>
      <c r="D357" s="52"/>
      <c r="E357" s="52"/>
      <c r="F357" s="38"/>
      <c r="G357" s="38"/>
      <c r="H357" s="41"/>
      <c r="I357" s="41"/>
      <c r="J357" s="41"/>
      <c r="K357" s="47" t="str">
        <f t="shared" si="5"/>
        <v/>
      </c>
      <c r="L357" s="47" t="str">
        <f t="shared" si="7"/>
        <v/>
      </c>
      <c r="M357" s="41"/>
      <c r="N357" s="38"/>
      <c r="O357" s="38"/>
      <c r="P357" s="38"/>
    </row>
    <row r="358" ht="15.75" customHeight="1">
      <c r="A358" s="52"/>
      <c r="B358" s="28" t="str">
        <f>IF($A358="","",IFERROR(VLOOKUP($A358,'Resumo por docente'!$A$8:$B$57,2,FALSE),""))</f>
        <v/>
      </c>
      <c r="C358" s="31"/>
      <c r="D358" s="52"/>
      <c r="E358" s="52"/>
      <c r="F358" s="38"/>
      <c r="G358" s="38"/>
      <c r="H358" s="41"/>
      <c r="I358" s="41"/>
      <c r="J358" s="41"/>
      <c r="K358" s="47" t="str">
        <f t="shared" si="5"/>
        <v/>
      </c>
      <c r="L358" s="47" t="str">
        <f t="shared" si="7"/>
        <v/>
      </c>
      <c r="M358" s="41"/>
      <c r="N358" s="38"/>
      <c r="O358" s="38"/>
      <c r="P358" s="38"/>
    </row>
    <row r="359" ht="15.75" customHeight="1">
      <c r="A359" s="52"/>
      <c r="B359" s="28" t="str">
        <f>IF($A359="","",IFERROR(VLOOKUP($A359,'Resumo por docente'!$A$8:$B$57,2,FALSE),""))</f>
        <v/>
      </c>
      <c r="C359" s="31"/>
      <c r="D359" s="52"/>
      <c r="E359" s="52"/>
      <c r="F359" s="38"/>
      <c r="G359" s="38"/>
      <c r="H359" s="41"/>
      <c r="I359" s="41"/>
      <c r="J359" s="41"/>
      <c r="K359" s="47" t="str">
        <f t="shared" si="5"/>
        <v/>
      </c>
      <c r="L359" s="47" t="str">
        <f t="shared" si="7"/>
        <v/>
      </c>
      <c r="M359" s="41"/>
      <c r="N359" s="38"/>
      <c r="O359" s="38"/>
      <c r="P359" s="38"/>
    </row>
    <row r="360" ht="15.75" customHeight="1">
      <c r="A360" s="52"/>
      <c r="B360" s="28" t="str">
        <f>IF($A360="","",IFERROR(VLOOKUP($A360,'Resumo por docente'!$A$8:$B$57,2,FALSE),""))</f>
        <v/>
      </c>
      <c r="C360" s="31"/>
      <c r="D360" s="52"/>
      <c r="E360" s="52"/>
      <c r="F360" s="38"/>
      <c r="G360" s="38"/>
      <c r="H360" s="41"/>
      <c r="I360" s="41"/>
      <c r="J360" s="41"/>
      <c r="K360" s="47" t="str">
        <f t="shared" si="5"/>
        <v/>
      </c>
      <c r="L360" s="47" t="str">
        <f t="shared" si="7"/>
        <v/>
      </c>
      <c r="M360" s="41"/>
      <c r="N360" s="38"/>
      <c r="O360" s="38"/>
      <c r="P360" s="38"/>
    </row>
    <row r="361" ht="15.75" customHeight="1">
      <c r="A361" s="52"/>
      <c r="B361" s="28" t="str">
        <f>IF($A361="","",IFERROR(VLOOKUP($A361,'Resumo por docente'!$A$8:$B$57,2,FALSE),""))</f>
        <v/>
      </c>
      <c r="C361" s="31"/>
      <c r="D361" s="52"/>
      <c r="E361" s="52"/>
      <c r="F361" s="38"/>
      <c r="G361" s="38"/>
      <c r="H361" s="41"/>
      <c r="I361" s="41"/>
      <c r="J361" s="41"/>
      <c r="K361" s="47" t="str">
        <f t="shared" si="5"/>
        <v/>
      </c>
      <c r="L361" s="47" t="str">
        <f t="shared" si="7"/>
        <v/>
      </c>
      <c r="M361" s="41"/>
      <c r="N361" s="38"/>
      <c r="O361" s="38"/>
      <c r="P361" s="38"/>
    </row>
    <row r="362" ht="15.75" customHeight="1">
      <c r="A362" s="52"/>
      <c r="B362" s="28" t="str">
        <f>IF($A362="","",IFERROR(VLOOKUP($A362,'Resumo por docente'!$A$8:$B$57,2,FALSE),""))</f>
        <v/>
      </c>
      <c r="C362" s="31"/>
      <c r="D362" s="52"/>
      <c r="E362" s="52"/>
      <c r="F362" s="38"/>
      <c r="G362" s="38"/>
      <c r="H362" s="41"/>
      <c r="I362" s="41"/>
      <c r="J362" s="41"/>
      <c r="K362" s="47" t="str">
        <f t="shared" si="5"/>
        <v/>
      </c>
      <c r="L362" s="47" t="str">
        <f t="shared" si="7"/>
        <v/>
      </c>
      <c r="M362" s="41"/>
      <c r="N362" s="38"/>
      <c r="O362" s="38"/>
      <c r="P362" s="38"/>
    </row>
    <row r="363" ht="15.75" customHeight="1">
      <c r="A363" s="52"/>
      <c r="B363" s="28" t="str">
        <f>IF($A363="","",IFERROR(VLOOKUP($A363,'Resumo por docente'!$A$8:$B$57,2,FALSE),""))</f>
        <v/>
      </c>
      <c r="C363" s="31"/>
      <c r="D363" s="52"/>
      <c r="E363" s="52"/>
      <c r="F363" s="38"/>
      <c r="G363" s="38"/>
      <c r="H363" s="41"/>
      <c r="I363" s="41"/>
      <c r="J363" s="41"/>
      <c r="K363" s="47" t="str">
        <f t="shared" si="5"/>
        <v/>
      </c>
      <c r="L363" s="47" t="str">
        <f t="shared" si="7"/>
        <v/>
      </c>
      <c r="M363" s="41"/>
      <c r="N363" s="38"/>
      <c r="O363" s="38"/>
      <c r="P363" s="38"/>
    </row>
    <row r="364" ht="15.75" customHeight="1">
      <c r="A364" s="52"/>
      <c r="B364" s="28" t="str">
        <f>IF($A364="","",IFERROR(VLOOKUP($A364,'Resumo por docente'!$A$8:$B$57,2,FALSE),""))</f>
        <v/>
      </c>
      <c r="C364" s="31"/>
      <c r="D364" s="52"/>
      <c r="E364" s="52"/>
      <c r="F364" s="38"/>
      <c r="G364" s="38"/>
      <c r="H364" s="41"/>
      <c r="I364" s="41"/>
      <c r="J364" s="41"/>
      <c r="K364" s="47" t="str">
        <f t="shared" si="5"/>
        <v/>
      </c>
      <c r="L364" s="47" t="str">
        <f t="shared" si="7"/>
        <v/>
      </c>
      <c r="M364" s="41"/>
      <c r="N364" s="38"/>
      <c r="O364" s="38"/>
      <c r="P364" s="38"/>
    </row>
    <row r="365" ht="15.75" customHeight="1">
      <c r="A365" s="52"/>
      <c r="B365" s="28" t="str">
        <f>IF($A365="","",IFERROR(VLOOKUP($A365,'Resumo por docente'!$A$8:$B$57,2,FALSE),""))</f>
        <v/>
      </c>
      <c r="C365" s="31"/>
      <c r="D365" s="52"/>
      <c r="E365" s="52"/>
      <c r="F365" s="38"/>
      <c r="G365" s="38"/>
      <c r="H365" s="41"/>
      <c r="I365" s="41"/>
      <c r="J365" s="41"/>
      <c r="K365" s="47" t="str">
        <f t="shared" si="5"/>
        <v/>
      </c>
      <c r="L365" s="47" t="str">
        <f t="shared" si="7"/>
        <v/>
      </c>
      <c r="M365" s="41"/>
      <c r="N365" s="38"/>
      <c r="O365" s="38"/>
      <c r="P365" s="38"/>
    </row>
    <row r="366" ht="15.75" customHeight="1">
      <c r="A366" s="52"/>
      <c r="B366" s="28" t="str">
        <f>IF($A366="","",IFERROR(VLOOKUP($A366,'Resumo por docente'!$A$8:$B$57,2,FALSE),""))</f>
        <v/>
      </c>
      <c r="C366" s="31"/>
      <c r="D366" s="52"/>
      <c r="E366" s="52"/>
      <c r="F366" s="38"/>
      <c r="G366" s="38"/>
      <c r="H366" s="41"/>
      <c r="I366" s="41"/>
      <c r="J366" s="41"/>
      <c r="K366" s="47" t="str">
        <f t="shared" si="5"/>
        <v/>
      </c>
      <c r="L366" s="47" t="str">
        <f t="shared" si="7"/>
        <v/>
      </c>
      <c r="M366" s="41"/>
      <c r="N366" s="38"/>
      <c r="O366" s="38"/>
      <c r="P366" s="38"/>
    </row>
    <row r="367" ht="15.75" customHeight="1">
      <c r="A367" s="52"/>
      <c r="B367" s="28" t="str">
        <f>IF($A367="","",IFERROR(VLOOKUP($A367,'Resumo por docente'!$A$8:$B$57,2,FALSE),""))</f>
        <v/>
      </c>
      <c r="C367" s="31"/>
      <c r="D367" s="52"/>
      <c r="E367" s="52"/>
      <c r="F367" s="38"/>
      <c r="G367" s="38"/>
      <c r="H367" s="41"/>
      <c r="I367" s="41"/>
      <c r="J367" s="41"/>
      <c r="K367" s="47" t="str">
        <f t="shared" si="5"/>
        <v/>
      </c>
      <c r="L367" s="47" t="str">
        <f t="shared" si="7"/>
        <v/>
      </c>
      <c r="M367" s="41"/>
      <c r="N367" s="38"/>
      <c r="O367" s="38"/>
      <c r="P367" s="38"/>
    </row>
    <row r="368" ht="15.75" customHeight="1">
      <c r="A368" s="52"/>
      <c r="B368" s="28" t="str">
        <f>IF($A368="","",IFERROR(VLOOKUP($A368,'Resumo por docente'!$A$8:$B$57,2,FALSE),""))</f>
        <v/>
      </c>
      <c r="C368" s="31"/>
      <c r="D368" s="52"/>
      <c r="E368" s="52"/>
      <c r="F368" s="38"/>
      <c r="G368" s="38"/>
      <c r="H368" s="41"/>
      <c r="I368" s="41"/>
      <c r="J368" s="41"/>
      <c r="K368" s="47" t="str">
        <f t="shared" si="5"/>
        <v/>
      </c>
      <c r="L368" s="47" t="str">
        <f t="shared" si="7"/>
        <v/>
      </c>
      <c r="M368" s="41"/>
      <c r="N368" s="38"/>
      <c r="O368" s="38"/>
      <c r="P368" s="38"/>
    </row>
    <row r="369" ht="15.75" customHeight="1">
      <c r="A369" s="52"/>
      <c r="B369" s="28" t="str">
        <f>IF($A369="","",IFERROR(VLOOKUP($A369,'Resumo por docente'!$A$8:$B$57,2,FALSE),""))</f>
        <v/>
      </c>
      <c r="C369" s="31"/>
      <c r="D369" s="52"/>
      <c r="E369" s="52"/>
      <c r="F369" s="38"/>
      <c r="G369" s="38"/>
      <c r="H369" s="41"/>
      <c r="I369" s="41"/>
      <c r="J369" s="41"/>
      <c r="K369" s="47" t="str">
        <f t="shared" si="5"/>
        <v/>
      </c>
      <c r="L369" s="47" t="str">
        <f t="shared" si="7"/>
        <v/>
      </c>
      <c r="M369" s="41"/>
      <c r="N369" s="38"/>
      <c r="O369" s="38"/>
      <c r="P369" s="38"/>
    </row>
    <row r="370" ht="15.75" customHeight="1">
      <c r="A370" s="52"/>
      <c r="B370" s="28" t="str">
        <f>IF($A370="","",IFERROR(VLOOKUP($A370,'Resumo por docente'!$A$8:$B$57,2,FALSE),""))</f>
        <v/>
      </c>
      <c r="C370" s="31"/>
      <c r="D370" s="52"/>
      <c r="E370" s="52"/>
      <c r="F370" s="38"/>
      <c r="G370" s="38"/>
      <c r="H370" s="41"/>
      <c r="I370" s="41"/>
      <c r="J370" s="41"/>
      <c r="K370" s="47" t="str">
        <f t="shared" si="5"/>
        <v/>
      </c>
      <c r="L370" s="47" t="str">
        <f t="shared" si="7"/>
        <v/>
      </c>
      <c r="M370" s="41"/>
      <c r="N370" s="38"/>
      <c r="O370" s="38"/>
      <c r="P370" s="38"/>
    </row>
    <row r="371" ht="15.75" customHeight="1">
      <c r="A371" s="52"/>
      <c r="B371" s="28" t="str">
        <f>IF($A371="","",IFERROR(VLOOKUP($A371,'Resumo por docente'!$A$8:$B$57,2,FALSE),""))</f>
        <v/>
      </c>
      <c r="C371" s="31"/>
      <c r="D371" s="52"/>
      <c r="E371" s="52"/>
      <c r="F371" s="38"/>
      <c r="G371" s="38"/>
      <c r="H371" s="41"/>
      <c r="I371" s="41"/>
      <c r="J371" s="41"/>
      <c r="K371" s="47" t="str">
        <f t="shared" si="5"/>
        <v/>
      </c>
      <c r="L371" s="47" t="str">
        <f t="shared" si="7"/>
        <v/>
      </c>
      <c r="M371" s="41"/>
      <c r="N371" s="38"/>
      <c r="O371" s="38"/>
      <c r="P371" s="38"/>
    </row>
    <row r="372" ht="15.75" customHeight="1">
      <c r="A372" s="52"/>
      <c r="B372" s="28" t="str">
        <f>IF($A372="","",IFERROR(VLOOKUP($A372,'Resumo por docente'!$A$8:$B$57,2,FALSE),""))</f>
        <v/>
      </c>
      <c r="C372" s="31"/>
      <c r="D372" s="52"/>
      <c r="E372" s="52"/>
      <c r="F372" s="38"/>
      <c r="G372" s="38"/>
      <c r="H372" s="41"/>
      <c r="I372" s="41"/>
      <c r="J372" s="41"/>
      <c r="K372" s="47" t="str">
        <f t="shared" si="5"/>
        <v/>
      </c>
      <c r="L372" s="47" t="str">
        <f t="shared" si="7"/>
        <v/>
      </c>
      <c r="M372" s="41"/>
      <c r="N372" s="38"/>
      <c r="O372" s="38"/>
      <c r="P372" s="38"/>
    </row>
    <row r="373" ht="15.75" customHeight="1">
      <c r="A373" s="52"/>
      <c r="B373" s="28" t="str">
        <f>IF($A373="","",IFERROR(VLOOKUP($A373,'Resumo por docente'!$A$8:$B$57,2,FALSE),""))</f>
        <v/>
      </c>
      <c r="C373" s="31"/>
      <c r="D373" s="52"/>
      <c r="E373" s="52"/>
      <c r="F373" s="38"/>
      <c r="G373" s="38"/>
      <c r="H373" s="41"/>
      <c r="I373" s="41"/>
      <c r="J373" s="41"/>
      <c r="K373" s="47" t="str">
        <f t="shared" si="5"/>
        <v/>
      </c>
      <c r="L373" s="47" t="str">
        <f t="shared" si="7"/>
        <v/>
      </c>
      <c r="M373" s="41"/>
      <c r="N373" s="38"/>
      <c r="O373" s="38"/>
      <c r="P373" s="38"/>
    </row>
    <row r="374" ht="15.75" customHeight="1">
      <c r="A374" s="52"/>
      <c r="B374" s="28" t="str">
        <f>IF($A374="","",IFERROR(VLOOKUP($A374,'Resumo por docente'!$A$8:$B$57,2,FALSE),""))</f>
        <v/>
      </c>
      <c r="C374" s="31"/>
      <c r="D374" s="52"/>
      <c r="E374" s="52"/>
      <c r="F374" s="38"/>
      <c r="G374" s="38"/>
      <c r="H374" s="41"/>
      <c r="I374" s="41"/>
      <c r="J374" s="41"/>
      <c r="K374" s="47" t="str">
        <f t="shared" si="5"/>
        <v/>
      </c>
      <c r="L374" s="47" t="str">
        <f t="shared" si="7"/>
        <v/>
      </c>
      <c r="M374" s="41"/>
      <c r="N374" s="38"/>
      <c r="O374" s="38"/>
      <c r="P374" s="38"/>
    </row>
    <row r="375" ht="15.75" customHeight="1">
      <c r="A375" s="52"/>
      <c r="B375" s="28" t="str">
        <f>IF($A375="","",IFERROR(VLOOKUP($A375,'Resumo por docente'!$A$8:$B$57,2,FALSE),""))</f>
        <v/>
      </c>
      <c r="C375" s="31"/>
      <c r="D375" s="52"/>
      <c r="E375" s="52"/>
      <c r="F375" s="38"/>
      <c r="G375" s="38"/>
      <c r="H375" s="41"/>
      <c r="I375" s="41"/>
      <c r="J375" s="41"/>
      <c r="K375" s="47" t="str">
        <f t="shared" si="5"/>
        <v/>
      </c>
      <c r="L375" s="47" t="str">
        <f t="shared" si="7"/>
        <v/>
      </c>
      <c r="M375" s="41"/>
      <c r="N375" s="38"/>
      <c r="O375" s="38"/>
      <c r="P375" s="38"/>
    </row>
    <row r="376" ht="15.75" customHeight="1">
      <c r="A376" s="52"/>
      <c r="B376" s="28" t="str">
        <f>IF($A376="","",IFERROR(VLOOKUP($A376,'Resumo por docente'!$A$8:$B$57,2,FALSE),""))</f>
        <v/>
      </c>
      <c r="C376" s="31"/>
      <c r="D376" s="52"/>
      <c r="E376" s="52"/>
      <c r="F376" s="38"/>
      <c r="G376" s="38"/>
      <c r="H376" s="41"/>
      <c r="I376" s="41"/>
      <c r="J376" s="41"/>
      <c r="K376" s="47" t="str">
        <f t="shared" si="5"/>
        <v/>
      </c>
      <c r="L376" s="47" t="str">
        <f t="shared" si="7"/>
        <v/>
      </c>
      <c r="M376" s="41"/>
      <c r="N376" s="38"/>
      <c r="O376" s="38"/>
      <c r="P376" s="38"/>
    </row>
    <row r="377" ht="15.75" customHeight="1">
      <c r="A377" s="52"/>
      <c r="B377" s="28" t="str">
        <f>IF($A377="","",IFERROR(VLOOKUP($A377,'Resumo por docente'!$A$8:$B$57,2,FALSE),""))</f>
        <v/>
      </c>
      <c r="C377" s="31"/>
      <c r="D377" s="52"/>
      <c r="E377" s="52"/>
      <c r="F377" s="38"/>
      <c r="G377" s="38"/>
      <c r="H377" s="41"/>
      <c r="I377" s="41"/>
      <c r="J377" s="41"/>
      <c r="K377" s="47" t="str">
        <f t="shared" si="5"/>
        <v/>
      </c>
      <c r="L377" s="47" t="str">
        <f t="shared" si="7"/>
        <v/>
      </c>
      <c r="M377" s="41"/>
      <c r="N377" s="38"/>
      <c r="O377" s="38"/>
      <c r="P377" s="38"/>
    </row>
    <row r="378" ht="15.75" customHeight="1">
      <c r="A378" s="52"/>
      <c r="B378" s="28" t="str">
        <f>IF($A378="","",IFERROR(VLOOKUP($A378,'Resumo por docente'!$A$8:$B$57,2,FALSE),""))</f>
        <v/>
      </c>
      <c r="C378" s="31"/>
      <c r="D378" s="52"/>
      <c r="E378" s="52"/>
      <c r="F378" s="38"/>
      <c r="G378" s="38"/>
      <c r="H378" s="41"/>
      <c r="I378" s="41"/>
      <c r="J378" s="41"/>
      <c r="K378" s="47" t="str">
        <f t="shared" si="5"/>
        <v/>
      </c>
      <c r="L378" s="47" t="str">
        <f t="shared" si="7"/>
        <v/>
      </c>
      <c r="M378" s="41"/>
      <c r="N378" s="38"/>
      <c r="O378" s="38"/>
      <c r="P378" s="38"/>
    </row>
    <row r="379" ht="15.75" customHeight="1">
      <c r="A379" s="52"/>
      <c r="B379" s="28" t="str">
        <f>IF($A379="","",IFERROR(VLOOKUP($A379,'Resumo por docente'!$A$8:$B$57,2,FALSE),""))</f>
        <v/>
      </c>
      <c r="C379" s="31"/>
      <c r="D379" s="52"/>
      <c r="E379" s="52"/>
      <c r="F379" s="38"/>
      <c r="G379" s="38"/>
      <c r="H379" s="41"/>
      <c r="I379" s="41"/>
      <c r="J379" s="41"/>
      <c r="K379" s="47" t="str">
        <f t="shared" si="5"/>
        <v/>
      </c>
      <c r="L379" s="47" t="str">
        <f t="shared" si="7"/>
        <v/>
      </c>
      <c r="M379" s="41"/>
      <c r="N379" s="38"/>
      <c r="O379" s="38"/>
      <c r="P379" s="38"/>
    </row>
    <row r="380" ht="15.75" customHeight="1">
      <c r="A380" s="52"/>
      <c r="B380" s="28" t="str">
        <f>IF($A380="","",IFERROR(VLOOKUP($A380,'Resumo por docente'!$A$8:$B$57,2,FALSE),""))</f>
        <v/>
      </c>
      <c r="C380" s="31"/>
      <c r="D380" s="52"/>
      <c r="E380" s="52"/>
      <c r="F380" s="38"/>
      <c r="G380" s="38"/>
      <c r="H380" s="41"/>
      <c r="I380" s="41"/>
      <c r="J380" s="41"/>
      <c r="K380" s="47" t="str">
        <f t="shared" si="5"/>
        <v/>
      </c>
      <c r="L380" s="47" t="str">
        <f t="shared" si="7"/>
        <v/>
      </c>
      <c r="M380" s="41"/>
      <c r="N380" s="38"/>
      <c r="O380" s="38"/>
      <c r="P380" s="38"/>
    </row>
    <row r="381" ht="15.75" customHeight="1">
      <c r="A381" s="52"/>
      <c r="B381" s="28" t="str">
        <f>IF($A381="","",IFERROR(VLOOKUP($A381,'Resumo por docente'!$A$8:$B$57,2,FALSE),""))</f>
        <v/>
      </c>
      <c r="C381" s="31"/>
      <c r="D381" s="52"/>
      <c r="E381" s="52"/>
      <c r="F381" s="38"/>
      <c r="G381" s="38"/>
      <c r="H381" s="41"/>
      <c r="I381" s="41"/>
      <c r="J381" s="41"/>
      <c r="K381" s="47" t="str">
        <f t="shared" si="5"/>
        <v/>
      </c>
      <c r="L381" s="47" t="str">
        <f t="shared" si="7"/>
        <v/>
      </c>
      <c r="M381" s="41"/>
      <c r="N381" s="38"/>
      <c r="O381" s="38"/>
      <c r="P381" s="38"/>
    </row>
    <row r="382" ht="15.75" customHeight="1">
      <c r="A382" s="52"/>
      <c r="B382" s="28" t="str">
        <f>IF($A382="","",IFERROR(VLOOKUP($A382,'Resumo por docente'!$A$8:$B$57,2,FALSE),""))</f>
        <v/>
      </c>
      <c r="C382" s="31"/>
      <c r="D382" s="52"/>
      <c r="E382" s="52"/>
      <c r="F382" s="38"/>
      <c r="G382" s="38"/>
      <c r="H382" s="41"/>
      <c r="I382" s="41"/>
      <c r="J382" s="41"/>
      <c r="K382" s="47" t="str">
        <f t="shared" si="5"/>
        <v/>
      </c>
      <c r="L382" s="47" t="str">
        <f t="shared" si="7"/>
        <v/>
      </c>
      <c r="M382" s="41"/>
      <c r="N382" s="38"/>
      <c r="O382" s="38"/>
      <c r="P382" s="38"/>
    </row>
    <row r="383" ht="15.75" customHeight="1">
      <c r="A383" s="52"/>
      <c r="B383" s="28" t="str">
        <f>IF($A383="","",IFERROR(VLOOKUP($A383,'Resumo por docente'!$A$8:$B$57,2,FALSE),""))</f>
        <v/>
      </c>
      <c r="C383" s="31"/>
      <c r="D383" s="52"/>
      <c r="E383" s="52"/>
      <c r="F383" s="38"/>
      <c r="G383" s="38"/>
      <c r="H383" s="41"/>
      <c r="I383" s="41"/>
      <c r="J383" s="41"/>
      <c r="K383" s="47" t="str">
        <f t="shared" si="5"/>
        <v/>
      </c>
      <c r="L383" s="47" t="str">
        <f t="shared" si="7"/>
        <v/>
      </c>
      <c r="M383" s="41"/>
      <c r="N383" s="38"/>
      <c r="O383" s="38"/>
      <c r="P383" s="38"/>
    </row>
    <row r="384" ht="15.75" customHeight="1">
      <c r="A384" s="52"/>
      <c r="B384" s="28" t="str">
        <f>IF($A384="","",IFERROR(VLOOKUP($A384,'Resumo por docente'!$A$8:$B$57,2,FALSE),""))</f>
        <v/>
      </c>
      <c r="C384" s="31"/>
      <c r="D384" s="52"/>
      <c r="E384" s="52"/>
      <c r="F384" s="38"/>
      <c r="G384" s="38"/>
      <c r="H384" s="41"/>
      <c r="I384" s="41"/>
      <c r="J384" s="41"/>
      <c r="K384" s="47" t="str">
        <f t="shared" si="5"/>
        <v/>
      </c>
      <c r="L384" s="47" t="str">
        <f t="shared" si="7"/>
        <v/>
      </c>
      <c r="M384" s="41"/>
      <c r="N384" s="38"/>
      <c r="O384" s="38"/>
      <c r="P384" s="38"/>
    </row>
    <row r="385" ht="15.75" customHeight="1">
      <c r="A385" s="52"/>
      <c r="B385" s="28" t="str">
        <f>IF($A385="","",IFERROR(VLOOKUP($A385,'Resumo por docente'!$A$8:$B$57,2,FALSE),""))</f>
        <v/>
      </c>
      <c r="C385" s="31"/>
      <c r="D385" s="52"/>
      <c r="E385" s="52"/>
      <c r="F385" s="38"/>
      <c r="G385" s="38"/>
      <c r="H385" s="41"/>
      <c r="I385" s="41"/>
      <c r="J385" s="41"/>
      <c r="K385" s="47" t="str">
        <f t="shared" si="5"/>
        <v/>
      </c>
      <c r="L385" s="47" t="str">
        <f t="shared" si="7"/>
        <v/>
      </c>
      <c r="M385" s="41"/>
      <c r="N385" s="38"/>
      <c r="O385" s="38"/>
      <c r="P385" s="38"/>
    </row>
    <row r="386" ht="15.75" customHeight="1">
      <c r="A386" s="52"/>
      <c r="B386" s="28" t="str">
        <f>IF($A386="","",IFERROR(VLOOKUP($A386,'Resumo por docente'!$A$8:$B$57,2,FALSE),""))</f>
        <v/>
      </c>
      <c r="C386" s="31"/>
      <c r="D386" s="52"/>
      <c r="E386" s="52"/>
      <c r="F386" s="38"/>
      <c r="G386" s="38"/>
      <c r="H386" s="41"/>
      <c r="I386" s="41"/>
      <c r="J386" s="41"/>
      <c r="K386" s="47" t="str">
        <f t="shared" si="5"/>
        <v/>
      </c>
      <c r="L386" s="47" t="str">
        <f t="shared" si="7"/>
        <v/>
      </c>
      <c r="M386" s="41"/>
      <c r="N386" s="38"/>
      <c r="O386" s="38"/>
      <c r="P386" s="38"/>
    </row>
    <row r="387" ht="15.75" customHeight="1">
      <c r="A387" s="52"/>
      <c r="B387" s="28" t="str">
        <f>IF($A387="","",IFERROR(VLOOKUP($A387,'Resumo por docente'!$A$8:$B$57,2,FALSE),""))</f>
        <v/>
      </c>
      <c r="C387" s="31"/>
      <c r="D387" s="52"/>
      <c r="E387" s="52"/>
      <c r="F387" s="38"/>
      <c r="G387" s="38"/>
      <c r="H387" s="41"/>
      <c r="I387" s="41"/>
      <c r="J387" s="41"/>
      <c r="K387" s="47" t="str">
        <f t="shared" si="5"/>
        <v/>
      </c>
      <c r="L387" s="47" t="str">
        <f t="shared" si="7"/>
        <v/>
      </c>
      <c r="M387" s="41"/>
      <c r="N387" s="38"/>
      <c r="O387" s="38"/>
      <c r="P387" s="38"/>
    </row>
    <row r="388" ht="15.75" customHeight="1">
      <c r="A388" s="52"/>
      <c r="B388" s="28" t="str">
        <f>IF($A388="","",IFERROR(VLOOKUP($A388,'Resumo por docente'!$A$8:$B$57,2,FALSE),""))</f>
        <v/>
      </c>
      <c r="C388" s="31"/>
      <c r="D388" s="52"/>
      <c r="E388" s="52"/>
      <c r="F388" s="38"/>
      <c r="G388" s="38"/>
      <c r="H388" s="41"/>
      <c r="I388" s="41"/>
      <c r="J388" s="41"/>
      <c r="K388" s="47" t="str">
        <f t="shared" si="5"/>
        <v/>
      </c>
      <c r="L388" s="47" t="str">
        <f t="shared" si="7"/>
        <v/>
      </c>
      <c r="M388" s="41"/>
      <c r="N388" s="38"/>
      <c r="O388" s="38"/>
      <c r="P388" s="38"/>
    </row>
    <row r="389" ht="15.75" customHeight="1">
      <c r="A389" s="52"/>
      <c r="B389" s="28" t="str">
        <f>IF($A389="","",IFERROR(VLOOKUP($A389,'Resumo por docente'!$A$8:$B$57,2,FALSE),""))</f>
        <v/>
      </c>
      <c r="C389" s="31"/>
      <c r="D389" s="52"/>
      <c r="E389" s="52"/>
      <c r="F389" s="38"/>
      <c r="G389" s="38"/>
      <c r="H389" s="41"/>
      <c r="I389" s="41"/>
      <c r="J389" s="41"/>
      <c r="K389" s="47" t="str">
        <f t="shared" si="5"/>
        <v/>
      </c>
      <c r="L389" s="47" t="str">
        <f t="shared" si="7"/>
        <v/>
      </c>
      <c r="M389" s="41"/>
      <c r="N389" s="38"/>
      <c r="O389" s="38"/>
      <c r="P389" s="38"/>
    </row>
    <row r="390" ht="15.75" customHeight="1">
      <c r="A390" s="52"/>
      <c r="B390" s="28" t="str">
        <f>IF($A390="","",IFERROR(VLOOKUP($A390,'Resumo por docente'!$A$8:$B$57,2,FALSE),""))</f>
        <v/>
      </c>
      <c r="C390" s="31"/>
      <c r="D390" s="52"/>
      <c r="E390" s="52"/>
      <c r="F390" s="38"/>
      <c r="G390" s="38"/>
      <c r="H390" s="41"/>
      <c r="I390" s="41"/>
      <c r="J390" s="41"/>
      <c r="K390" s="47" t="str">
        <f t="shared" si="5"/>
        <v/>
      </c>
      <c r="L390" s="47" t="str">
        <f t="shared" si="7"/>
        <v/>
      </c>
      <c r="M390" s="41"/>
      <c r="N390" s="38"/>
      <c r="O390" s="38"/>
      <c r="P390" s="38"/>
    </row>
    <row r="391" ht="15.75" customHeight="1">
      <c r="A391" s="52"/>
      <c r="B391" s="28" t="str">
        <f>IF($A391="","",IFERROR(VLOOKUP($A391,'Resumo por docente'!$A$8:$B$57,2,FALSE),""))</f>
        <v/>
      </c>
      <c r="C391" s="31"/>
      <c r="D391" s="52"/>
      <c r="E391" s="52"/>
      <c r="F391" s="38"/>
      <c r="G391" s="38"/>
      <c r="H391" s="41"/>
      <c r="I391" s="41"/>
      <c r="J391" s="41"/>
      <c r="K391" s="47" t="str">
        <f t="shared" si="5"/>
        <v/>
      </c>
      <c r="L391" s="47" t="str">
        <f t="shared" si="7"/>
        <v/>
      </c>
      <c r="M391" s="41"/>
      <c r="N391" s="38"/>
      <c r="O391" s="38"/>
      <c r="P391" s="38"/>
    </row>
    <row r="392" ht="15.75" customHeight="1">
      <c r="A392" s="52"/>
      <c r="B392" s="28" t="str">
        <f>IF($A392="","",IFERROR(VLOOKUP($A392,'Resumo por docente'!$A$8:$B$57,2,FALSE),""))</f>
        <v/>
      </c>
      <c r="C392" s="31"/>
      <c r="D392" s="52"/>
      <c r="E392" s="52"/>
      <c r="F392" s="38"/>
      <c r="G392" s="38"/>
      <c r="H392" s="41"/>
      <c r="I392" s="41"/>
      <c r="J392" s="41"/>
      <c r="K392" s="47" t="str">
        <f t="shared" si="5"/>
        <v/>
      </c>
      <c r="L392" s="47" t="str">
        <f t="shared" si="7"/>
        <v/>
      </c>
      <c r="M392" s="41"/>
      <c r="N392" s="38"/>
      <c r="O392" s="38"/>
      <c r="P392" s="38"/>
    </row>
    <row r="393" ht="15.75" customHeight="1">
      <c r="A393" s="52"/>
      <c r="B393" s="28" t="str">
        <f>IF($A393="","",IFERROR(VLOOKUP($A393,'Resumo por docente'!$A$8:$B$57,2,FALSE),""))</f>
        <v/>
      </c>
      <c r="C393" s="31"/>
      <c r="D393" s="52"/>
      <c r="E393" s="52"/>
      <c r="F393" s="38"/>
      <c r="G393" s="38"/>
      <c r="H393" s="41"/>
      <c r="I393" s="41"/>
      <c r="J393" s="41"/>
      <c r="K393" s="47" t="str">
        <f t="shared" si="5"/>
        <v/>
      </c>
      <c r="L393" s="47" t="str">
        <f t="shared" si="7"/>
        <v/>
      </c>
      <c r="M393" s="41"/>
      <c r="N393" s="38"/>
      <c r="O393" s="38"/>
      <c r="P393" s="38"/>
    </row>
    <row r="394" ht="15.75" customHeight="1">
      <c r="A394" s="52"/>
      <c r="B394" s="28" t="str">
        <f>IF($A394="","",IFERROR(VLOOKUP($A394,'Resumo por docente'!$A$8:$B$57,2,FALSE),""))</f>
        <v/>
      </c>
      <c r="C394" s="31"/>
      <c r="D394" s="52"/>
      <c r="E394" s="52"/>
      <c r="F394" s="38"/>
      <c r="G394" s="38"/>
      <c r="H394" s="41"/>
      <c r="I394" s="41"/>
      <c r="J394" s="41"/>
      <c r="K394" s="47" t="str">
        <f t="shared" si="5"/>
        <v/>
      </c>
      <c r="L394" s="47" t="str">
        <f t="shared" si="7"/>
        <v/>
      </c>
      <c r="M394" s="41"/>
      <c r="N394" s="38"/>
      <c r="O394" s="38"/>
      <c r="P394" s="38"/>
    </row>
    <row r="395" ht="15.75" customHeight="1">
      <c r="A395" s="52"/>
      <c r="B395" s="28" t="str">
        <f>IF($A395="","",IFERROR(VLOOKUP($A395,'Resumo por docente'!$A$8:$B$57,2,FALSE),""))</f>
        <v/>
      </c>
      <c r="C395" s="31"/>
      <c r="D395" s="52"/>
      <c r="E395" s="52"/>
      <c r="F395" s="38"/>
      <c r="G395" s="38"/>
      <c r="H395" s="41"/>
      <c r="I395" s="41"/>
      <c r="J395" s="41"/>
      <c r="K395" s="47" t="str">
        <f t="shared" si="5"/>
        <v/>
      </c>
      <c r="L395" s="47" t="str">
        <f t="shared" si="7"/>
        <v/>
      </c>
      <c r="M395" s="41"/>
      <c r="N395" s="38"/>
      <c r="O395" s="38"/>
      <c r="P395" s="38"/>
    </row>
    <row r="396" ht="15.75" customHeight="1">
      <c r="A396" s="52"/>
      <c r="B396" s="28" t="str">
        <f>IF($A396="","",IFERROR(VLOOKUP($A396,'Resumo por docente'!$A$8:$B$57,2,FALSE),""))</f>
        <v/>
      </c>
      <c r="C396" s="31"/>
      <c r="D396" s="52"/>
      <c r="E396" s="52"/>
      <c r="F396" s="38"/>
      <c r="G396" s="38"/>
      <c r="H396" s="41"/>
      <c r="I396" s="41"/>
      <c r="J396" s="41"/>
      <c r="K396" s="47" t="str">
        <f t="shared" si="5"/>
        <v/>
      </c>
      <c r="L396" s="47" t="str">
        <f t="shared" si="7"/>
        <v/>
      </c>
      <c r="M396" s="41"/>
      <c r="N396" s="38"/>
      <c r="O396" s="38"/>
      <c r="P396" s="38"/>
    </row>
    <row r="397" ht="15.75" customHeight="1">
      <c r="A397" s="52"/>
      <c r="B397" s="28" t="str">
        <f>IF($A397="","",IFERROR(VLOOKUP($A397,'Resumo por docente'!$A$8:$B$57,2,FALSE),""))</f>
        <v/>
      </c>
      <c r="C397" s="31"/>
      <c r="D397" s="52"/>
      <c r="E397" s="52"/>
      <c r="F397" s="38"/>
      <c r="G397" s="38"/>
      <c r="H397" s="41"/>
      <c r="I397" s="41"/>
      <c r="J397" s="41"/>
      <c r="K397" s="47" t="str">
        <f t="shared" si="5"/>
        <v/>
      </c>
      <c r="L397" s="47" t="str">
        <f t="shared" si="7"/>
        <v/>
      </c>
      <c r="M397" s="41"/>
      <c r="N397" s="38"/>
      <c r="O397" s="38"/>
      <c r="P397" s="38"/>
    </row>
    <row r="398" ht="15.75" customHeight="1">
      <c r="A398" s="52"/>
      <c r="B398" s="28" t="str">
        <f>IF($A398="","",IFERROR(VLOOKUP($A398,'Resumo por docente'!$A$8:$B$57,2,FALSE),""))</f>
        <v/>
      </c>
      <c r="C398" s="31"/>
      <c r="D398" s="52"/>
      <c r="E398" s="52"/>
      <c r="F398" s="38"/>
      <c r="G398" s="38"/>
      <c r="H398" s="41"/>
      <c r="I398" s="41"/>
      <c r="J398" s="41"/>
      <c r="K398" s="47" t="str">
        <f t="shared" si="5"/>
        <v/>
      </c>
      <c r="L398" s="47" t="str">
        <f t="shared" si="7"/>
        <v/>
      </c>
      <c r="M398" s="41"/>
      <c r="N398" s="38"/>
      <c r="O398" s="38"/>
      <c r="P398" s="38"/>
    </row>
    <row r="399" ht="15.75" customHeight="1">
      <c r="A399" s="52"/>
      <c r="B399" s="28" t="str">
        <f>IF($A399="","",IFERROR(VLOOKUP($A399,'Resumo por docente'!$A$8:$B$57,2,FALSE),""))</f>
        <v/>
      </c>
      <c r="C399" s="31"/>
      <c r="D399" s="52"/>
      <c r="E399" s="52"/>
      <c r="F399" s="38"/>
      <c r="G399" s="38"/>
      <c r="H399" s="41"/>
      <c r="I399" s="41"/>
      <c r="J399" s="41"/>
      <c r="K399" s="47" t="str">
        <f t="shared" si="5"/>
        <v/>
      </c>
      <c r="L399" s="47" t="str">
        <f t="shared" si="7"/>
        <v/>
      </c>
      <c r="M399" s="41"/>
      <c r="N399" s="38"/>
      <c r="O399" s="38"/>
      <c r="P399" s="38"/>
    </row>
    <row r="400" ht="15.75" customHeight="1">
      <c r="A400" s="52"/>
      <c r="B400" s="28" t="str">
        <f>IF($A400="","",IFERROR(VLOOKUP($A400,'Resumo por docente'!$A$8:$B$57,2,FALSE),""))</f>
        <v/>
      </c>
      <c r="C400" s="31"/>
      <c r="D400" s="52"/>
      <c r="E400" s="52"/>
      <c r="F400" s="38"/>
      <c r="G400" s="38"/>
      <c r="H400" s="41"/>
      <c r="I400" s="41"/>
      <c r="J400" s="41"/>
      <c r="K400" s="47" t="str">
        <f t="shared" si="5"/>
        <v/>
      </c>
      <c r="L400" s="47" t="str">
        <f t="shared" si="7"/>
        <v/>
      </c>
      <c r="M400" s="41"/>
      <c r="N400" s="38"/>
      <c r="O400" s="38"/>
      <c r="P400" s="38"/>
    </row>
    <row r="401" ht="15.75" customHeight="1">
      <c r="A401" s="52"/>
      <c r="B401" s="28" t="str">
        <f>IF($A401="","",IFERROR(VLOOKUP($A401,'Resumo por docente'!$A$8:$B$57,2,FALSE),""))</f>
        <v/>
      </c>
      <c r="C401" s="31"/>
      <c r="D401" s="52"/>
      <c r="E401" s="52"/>
      <c r="F401" s="38"/>
      <c r="G401" s="38"/>
      <c r="H401" s="41"/>
      <c r="I401" s="41"/>
      <c r="J401" s="41"/>
      <c r="K401" s="47" t="str">
        <f t="shared" si="5"/>
        <v/>
      </c>
      <c r="L401" s="47" t="str">
        <f t="shared" si="7"/>
        <v/>
      </c>
      <c r="M401" s="41"/>
      <c r="N401" s="38"/>
      <c r="O401" s="38"/>
      <c r="P401" s="38"/>
    </row>
    <row r="402" ht="15.75" customHeight="1">
      <c r="A402" s="52"/>
      <c r="B402" s="28" t="str">
        <f>IF($A402="","",IFERROR(VLOOKUP($A402,'Resumo por docente'!$A$8:$B$57,2,FALSE),""))</f>
        <v/>
      </c>
      <c r="C402" s="31"/>
      <c r="D402" s="52"/>
      <c r="E402" s="52"/>
      <c r="F402" s="38"/>
      <c r="G402" s="38"/>
      <c r="H402" s="41"/>
      <c r="I402" s="41"/>
      <c r="J402" s="41"/>
      <c r="K402" s="47" t="str">
        <f t="shared" si="5"/>
        <v/>
      </c>
      <c r="L402" s="47" t="str">
        <f t="shared" si="7"/>
        <v/>
      </c>
      <c r="M402" s="41"/>
      <c r="N402" s="38"/>
      <c r="O402" s="38"/>
      <c r="P402" s="38"/>
    </row>
    <row r="403" ht="15.75" customHeight="1">
      <c r="A403" s="52"/>
      <c r="B403" s="28" t="str">
        <f>IF($A403="","",IFERROR(VLOOKUP($A403,'Resumo por docente'!$A$8:$B$57,2,FALSE),""))</f>
        <v/>
      </c>
      <c r="C403" s="31"/>
      <c r="D403" s="52"/>
      <c r="E403" s="52"/>
      <c r="F403" s="38"/>
      <c r="G403" s="38"/>
      <c r="H403" s="41"/>
      <c r="I403" s="41"/>
      <c r="J403" s="41"/>
      <c r="K403" s="47" t="str">
        <f t="shared" si="5"/>
        <v/>
      </c>
      <c r="L403" s="47" t="str">
        <f t="shared" si="7"/>
        <v/>
      </c>
      <c r="M403" s="41"/>
      <c r="N403" s="38"/>
      <c r="O403" s="38"/>
      <c r="P403" s="38"/>
    </row>
    <row r="404" ht="15.75" customHeight="1">
      <c r="A404" s="52"/>
      <c r="B404" s="28" t="str">
        <f>IF($A404="","",IFERROR(VLOOKUP($A404,'Resumo por docente'!$A$8:$B$57,2,FALSE),""))</f>
        <v/>
      </c>
      <c r="C404" s="31"/>
      <c r="D404" s="52"/>
      <c r="E404" s="52"/>
      <c r="F404" s="38"/>
      <c r="G404" s="38"/>
      <c r="H404" s="41"/>
      <c r="I404" s="41"/>
      <c r="J404" s="41"/>
      <c r="K404" s="47" t="str">
        <f t="shared" si="5"/>
        <v/>
      </c>
      <c r="L404" s="47" t="str">
        <f t="shared" si="7"/>
        <v/>
      </c>
      <c r="M404" s="41"/>
      <c r="N404" s="38"/>
      <c r="O404" s="38"/>
      <c r="P404" s="38"/>
    </row>
    <row r="405" ht="15.75" customHeight="1">
      <c r="A405" s="52"/>
      <c r="B405" s="28" t="str">
        <f>IF($A405="","",IFERROR(VLOOKUP($A405,'Resumo por docente'!$A$8:$B$57,2,FALSE),""))</f>
        <v/>
      </c>
      <c r="C405" s="31"/>
      <c r="D405" s="52"/>
      <c r="E405" s="52"/>
      <c r="F405" s="38"/>
      <c r="G405" s="38"/>
      <c r="H405" s="41"/>
      <c r="I405" s="41"/>
      <c r="J405" s="41"/>
      <c r="K405" s="47" t="str">
        <f t="shared" si="5"/>
        <v/>
      </c>
      <c r="L405" s="47" t="str">
        <f t="shared" si="7"/>
        <v/>
      </c>
      <c r="M405" s="41"/>
      <c r="N405" s="38"/>
      <c r="O405" s="38"/>
      <c r="P405" s="38"/>
    </row>
    <row r="406" ht="15.75" customHeight="1">
      <c r="A406" s="52"/>
      <c r="B406" s="28" t="str">
        <f>IF($A406="","",IFERROR(VLOOKUP($A406,'Resumo por docente'!$A$8:$B$57,2,FALSE),""))</f>
        <v/>
      </c>
      <c r="C406" s="31"/>
      <c r="D406" s="52"/>
      <c r="E406" s="52"/>
      <c r="F406" s="38"/>
      <c r="G406" s="38"/>
      <c r="H406" s="41"/>
      <c r="I406" s="41"/>
      <c r="J406" s="41"/>
      <c r="K406" s="47" t="str">
        <f t="shared" si="5"/>
        <v/>
      </c>
      <c r="L406" s="47" t="str">
        <f t="shared" si="7"/>
        <v/>
      </c>
      <c r="M406" s="41"/>
      <c r="N406" s="38"/>
      <c r="O406" s="38"/>
      <c r="P406" s="38"/>
    </row>
    <row r="407" ht="15.75" customHeight="1">
      <c r="A407" s="52"/>
      <c r="B407" s="28" t="str">
        <f>IF($A407="","",IFERROR(VLOOKUP($A407,'Resumo por docente'!$A$8:$B$57,2,FALSE),""))</f>
        <v/>
      </c>
      <c r="C407" s="31"/>
      <c r="D407" s="52"/>
      <c r="E407" s="52"/>
      <c r="F407" s="38"/>
      <c r="G407" s="38"/>
      <c r="H407" s="41"/>
      <c r="I407" s="41"/>
      <c r="J407" s="41"/>
      <c r="K407" s="47" t="str">
        <f t="shared" si="5"/>
        <v/>
      </c>
      <c r="L407" s="47" t="str">
        <f t="shared" si="7"/>
        <v/>
      </c>
      <c r="M407" s="41"/>
      <c r="N407" s="38"/>
      <c r="O407" s="38"/>
      <c r="P407" s="38"/>
    </row>
    <row r="408" ht="15.75" customHeight="1">
      <c r="A408" s="52"/>
      <c r="B408" s="28" t="str">
        <f>IF($A408="","",IFERROR(VLOOKUP($A408,'Resumo por docente'!$A$8:$B$57,2,FALSE),""))</f>
        <v/>
      </c>
      <c r="C408" s="31"/>
      <c r="D408" s="52"/>
      <c r="E408" s="52"/>
      <c r="F408" s="38"/>
      <c r="G408" s="38"/>
      <c r="H408" s="41"/>
      <c r="I408" s="41"/>
      <c r="J408" s="41"/>
      <c r="K408" s="47" t="str">
        <f t="shared" si="5"/>
        <v/>
      </c>
      <c r="L408" s="47" t="str">
        <f t="shared" si="7"/>
        <v/>
      </c>
      <c r="M408" s="41"/>
      <c r="N408" s="38"/>
      <c r="O408" s="38"/>
      <c r="P408" s="38"/>
    </row>
    <row r="409" ht="15.75" customHeight="1">
      <c r="A409" s="52"/>
      <c r="B409" s="28" t="str">
        <f>IF($A409="","",IFERROR(VLOOKUP($A409,'Resumo por docente'!$A$8:$B$57,2,FALSE),""))</f>
        <v/>
      </c>
      <c r="C409" s="31"/>
      <c r="D409" s="52"/>
      <c r="E409" s="52"/>
      <c r="F409" s="38"/>
      <c r="G409" s="38"/>
      <c r="H409" s="41"/>
      <c r="I409" s="41"/>
      <c r="J409" s="41"/>
      <c r="K409" s="47" t="str">
        <f t="shared" si="5"/>
        <v/>
      </c>
      <c r="L409" s="47" t="str">
        <f t="shared" si="7"/>
        <v/>
      </c>
      <c r="M409" s="41"/>
      <c r="N409" s="38"/>
      <c r="O409" s="38"/>
      <c r="P409" s="38"/>
    </row>
    <row r="410" ht="15.75" customHeight="1">
      <c r="A410" s="52"/>
      <c r="B410" s="28" t="str">
        <f>IF($A410="","",IFERROR(VLOOKUP($A410,'Resumo por docente'!$A$8:$B$57,2,FALSE),""))</f>
        <v/>
      </c>
      <c r="C410" s="31"/>
      <c r="D410" s="52"/>
      <c r="E410" s="52"/>
      <c r="F410" s="38"/>
      <c r="G410" s="38"/>
      <c r="H410" s="41"/>
      <c r="I410" s="41"/>
      <c r="J410" s="41"/>
      <c r="K410" s="47" t="str">
        <f t="shared" si="5"/>
        <v/>
      </c>
      <c r="L410" s="47" t="str">
        <f t="shared" si="7"/>
        <v/>
      </c>
      <c r="M410" s="41"/>
      <c r="N410" s="38"/>
      <c r="O410" s="38"/>
      <c r="P410" s="38"/>
    </row>
    <row r="411" ht="15.75" customHeight="1">
      <c r="A411" s="52"/>
      <c r="B411" s="28" t="str">
        <f>IF($A411="","",IFERROR(VLOOKUP($A411,'Resumo por docente'!$A$8:$B$57,2,FALSE),""))</f>
        <v/>
      </c>
      <c r="C411" s="31"/>
      <c r="D411" s="52"/>
      <c r="E411" s="52"/>
      <c r="F411" s="38"/>
      <c r="G411" s="38"/>
      <c r="H411" s="41"/>
      <c r="I411" s="41"/>
      <c r="J411" s="41"/>
      <c r="K411" s="47" t="str">
        <f t="shared" si="5"/>
        <v/>
      </c>
      <c r="L411" s="47" t="str">
        <f t="shared" si="7"/>
        <v/>
      </c>
      <c r="M411" s="41"/>
      <c r="N411" s="38"/>
      <c r="O411" s="38"/>
      <c r="P411" s="38"/>
    </row>
    <row r="412" ht="15.75" customHeight="1">
      <c r="A412" s="52"/>
      <c r="B412" s="28" t="str">
        <f>IF($A412="","",IFERROR(VLOOKUP($A412,'Resumo por docente'!$A$8:$B$57,2,FALSE),""))</f>
        <v/>
      </c>
      <c r="C412" s="31"/>
      <c r="D412" s="52"/>
      <c r="E412" s="52"/>
      <c r="F412" s="38"/>
      <c r="G412" s="38"/>
      <c r="H412" s="41"/>
      <c r="I412" s="41"/>
      <c r="J412" s="41"/>
      <c r="K412" s="47" t="str">
        <f t="shared" si="5"/>
        <v/>
      </c>
      <c r="L412" s="47" t="str">
        <f t="shared" si="7"/>
        <v/>
      </c>
      <c r="M412" s="41"/>
      <c r="N412" s="38"/>
      <c r="O412" s="38"/>
      <c r="P412" s="38"/>
    </row>
    <row r="413" ht="15.75" customHeight="1">
      <c r="A413" s="52"/>
      <c r="B413" s="28" t="str">
        <f>IF($A413="","",IFERROR(VLOOKUP($A413,'Resumo por docente'!$A$8:$B$57,2,FALSE),""))</f>
        <v/>
      </c>
      <c r="C413" s="31"/>
      <c r="D413" s="52"/>
      <c r="E413" s="52"/>
      <c r="F413" s="38"/>
      <c r="G413" s="38"/>
      <c r="H413" s="41"/>
      <c r="I413" s="41"/>
      <c r="J413" s="41"/>
      <c r="K413" s="47" t="str">
        <f t="shared" si="5"/>
        <v/>
      </c>
      <c r="L413" s="47" t="str">
        <f t="shared" si="7"/>
        <v/>
      </c>
      <c r="M413" s="41"/>
      <c r="N413" s="38"/>
      <c r="O413" s="38"/>
      <c r="P413" s="38"/>
    </row>
    <row r="414" ht="15.75" customHeight="1">
      <c r="A414" s="52"/>
      <c r="B414" s="28" t="str">
        <f>IF($A414="","",IFERROR(VLOOKUP($A414,'Resumo por docente'!$A$8:$B$57,2,FALSE),""))</f>
        <v/>
      </c>
      <c r="C414" s="31"/>
      <c r="D414" s="52"/>
      <c r="E414" s="52"/>
      <c r="F414" s="38"/>
      <c r="G414" s="38"/>
      <c r="H414" s="41"/>
      <c r="I414" s="41"/>
      <c r="J414" s="41"/>
      <c r="K414" s="47" t="str">
        <f t="shared" si="5"/>
        <v/>
      </c>
      <c r="L414" s="47" t="str">
        <f t="shared" si="7"/>
        <v/>
      </c>
      <c r="M414" s="41"/>
      <c r="N414" s="38"/>
      <c r="O414" s="38"/>
      <c r="P414" s="38"/>
    </row>
    <row r="415" ht="15.75" customHeight="1">
      <c r="A415" s="52"/>
      <c r="B415" s="28" t="str">
        <f>IF($A415="","",IFERROR(VLOOKUP($A415,'Resumo por docente'!$A$8:$B$57,2,FALSE),""))</f>
        <v/>
      </c>
      <c r="C415" s="31"/>
      <c r="D415" s="52"/>
      <c r="E415" s="52"/>
      <c r="F415" s="38"/>
      <c r="G415" s="38"/>
      <c r="H415" s="41"/>
      <c r="I415" s="41"/>
      <c r="J415" s="41"/>
      <c r="K415" s="47" t="str">
        <f t="shared" si="5"/>
        <v/>
      </c>
      <c r="L415" s="47" t="str">
        <f t="shared" si="7"/>
        <v/>
      </c>
      <c r="M415" s="41"/>
      <c r="N415" s="38"/>
      <c r="O415" s="38"/>
      <c r="P415" s="38"/>
    </row>
    <row r="416" ht="15.75" customHeight="1">
      <c r="A416" s="52"/>
      <c r="B416" s="28" t="str">
        <f>IF($A416="","",IFERROR(VLOOKUP($A416,'Resumo por docente'!$A$8:$B$57,2,FALSE),""))</f>
        <v/>
      </c>
      <c r="C416" s="31"/>
      <c r="D416" s="52"/>
      <c r="E416" s="52"/>
      <c r="F416" s="38"/>
      <c r="G416" s="38"/>
      <c r="H416" s="41"/>
      <c r="I416" s="41"/>
      <c r="J416" s="41"/>
      <c r="K416" s="47" t="str">
        <f t="shared" si="5"/>
        <v/>
      </c>
      <c r="L416" s="47" t="str">
        <f t="shared" si="7"/>
        <v/>
      </c>
      <c r="M416" s="41"/>
      <c r="N416" s="38"/>
      <c r="O416" s="38"/>
      <c r="P416" s="38"/>
    </row>
    <row r="417" ht="15.75" customHeight="1">
      <c r="A417" s="52"/>
      <c r="B417" s="28" t="str">
        <f>IF($A417="","",IFERROR(VLOOKUP($A417,'Resumo por docente'!$A$8:$B$57,2,FALSE),""))</f>
        <v/>
      </c>
      <c r="C417" s="31"/>
      <c r="D417" s="52"/>
      <c r="E417" s="52"/>
      <c r="F417" s="38"/>
      <c r="G417" s="38"/>
      <c r="H417" s="41"/>
      <c r="I417" s="41"/>
      <c r="J417" s="41"/>
      <c r="K417" s="47" t="str">
        <f t="shared" si="5"/>
        <v/>
      </c>
      <c r="L417" s="47" t="str">
        <f t="shared" si="7"/>
        <v/>
      </c>
      <c r="M417" s="41"/>
      <c r="N417" s="38"/>
      <c r="O417" s="38"/>
      <c r="P417" s="38"/>
    </row>
    <row r="418" ht="15.75" customHeight="1">
      <c r="A418" s="52"/>
      <c r="B418" s="28" t="str">
        <f>IF($A418="","",IFERROR(VLOOKUP($A418,'Resumo por docente'!$A$8:$B$57,2,FALSE),""))</f>
        <v/>
      </c>
      <c r="C418" s="31"/>
      <c r="D418" s="52"/>
      <c r="E418" s="52"/>
      <c r="F418" s="38"/>
      <c r="G418" s="38"/>
      <c r="H418" s="41"/>
      <c r="I418" s="41"/>
      <c r="J418" s="41"/>
      <c r="K418" s="47" t="str">
        <f t="shared" si="5"/>
        <v/>
      </c>
      <c r="L418" s="47" t="str">
        <f t="shared" si="7"/>
        <v/>
      </c>
      <c r="M418" s="41"/>
      <c r="N418" s="38"/>
      <c r="O418" s="38"/>
      <c r="P418" s="38"/>
    </row>
    <row r="419" ht="15.75" customHeight="1">
      <c r="A419" s="52"/>
      <c r="B419" s="28" t="str">
        <f>IF($A419="","",IFERROR(VLOOKUP($A419,'Resumo por docente'!$A$8:$B$57,2,FALSE),""))</f>
        <v/>
      </c>
      <c r="C419" s="31"/>
      <c r="D419" s="52"/>
      <c r="E419" s="52"/>
      <c r="F419" s="38"/>
      <c r="G419" s="38"/>
      <c r="H419" s="41"/>
      <c r="I419" s="41"/>
      <c r="J419" s="41"/>
      <c r="K419" s="47" t="str">
        <f t="shared" si="5"/>
        <v/>
      </c>
      <c r="L419" s="47" t="str">
        <f t="shared" si="7"/>
        <v/>
      </c>
      <c r="M419" s="41"/>
      <c r="N419" s="38"/>
      <c r="O419" s="38"/>
      <c r="P419" s="38"/>
    </row>
    <row r="420" ht="15.75" customHeight="1">
      <c r="A420" s="52"/>
      <c r="B420" s="28" t="str">
        <f>IF($A420="","",IFERROR(VLOOKUP($A420,'Resumo por docente'!$A$8:$B$57,2,FALSE),""))</f>
        <v/>
      </c>
      <c r="C420" s="31"/>
      <c r="D420" s="52"/>
      <c r="E420" s="52"/>
      <c r="F420" s="38"/>
      <c r="G420" s="38"/>
      <c r="H420" s="41"/>
      <c r="I420" s="41"/>
      <c r="J420" s="41"/>
      <c r="K420" s="47" t="str">
        <f t="shared" si="5"/>
        <v/>
      </c>
      <c r="L420" s="47" t="str">
        <f t="shared" si="7"/>
        <v/>
      </c>
      <c r="M420" s="41"/>
      <c r="N420" s="38"/>
      <c r="O420" s="38"/>
      <c r="P420" s="38"/>
    </row>
    <row r="421" ht="15.75" customHeight="1">
      <c r="A421" s="52"/>
      <c r="B421" s="28" t="str">
        <f>IF($A421="","",IFERROR(VLOOKUP($A421,'Resumo por docente'!$A$8:$B$57,2,FALSE),""))</f>
        <v/>
      </c>
      <c r="C421" s="31"/>
      <c r="D421" s="52"/>
      <c r="E421" s="52"/>
      <c r="F421" s="38"/>
      <c r="G421" s="38"/>
      <c r="H421" s="41"/>
      <c r="I421" s="41"/>
      <c r="J421" s="41"/>
      <c r="K421" s="47" t="str">
        <f t="shared" si="5"/>
        <v/>
      </c>
      <c r="L421" s="47" t="str">
        <f t="shared" si="7"/>
        <v/>
      </c>
      <c r="M421" s="41"/>
      <c r="N421" s="38"/>
      <c r="O421" s="38"/>
      <c r="P421" s="38"/>
    </row>
    <row r="422" ht="15.75" customHeight="1">
      <c r="A422" s="52"/>
      <c r="B422" s="28" t="str">
        <f>IF($A422="","",IFERROR(VLOOKUP($A422,'Resumo por docente'!$A$8:$B$57,2,FALSE),""))</f>
        <v/>
      </c>
      <c r="C422" s="31"/>
      <c r="D422" s="52"/>
      <c r="E422" s="52"/>
      <c r="F422" s="38"/>
      <c r="G422" s="38"/>
      <c r="H422" s="41"/>
      <c r="I422" s="41"/>
      <c r="J422" s="41"/>
      <c r="K422" s="47" t="str">
        <f t="shared" si="5"/>
        <v/>
      </c>
      <c r="L422" s="47" t="str">
        <f t="shared" si="7"/>
        <v/>
      </c>
      <c r="M422" s="41"/>
      <c r="N422" s="38"/>
      <c r="O422" s="38"/>
      <c r="P422" s="38"/>
    </row>
    <row r="423" ht="15.75" customHeight="1">
      <c r="A423" s="52"/>
      <c r="B423" s="28" t="str">
        <f>IF($A423="","",IFERROR(VLOOKUP($A423,'Resumo por docente'!$A$8:$B$57,2,FALSE),""))</f>
        <v/>
      </c>
      <c r="C423" s="31"/>
      <c r="D423" s="52"/>
      <c r="E423" s="52"/>
      <c r="F423" s="38"/>
      <c r="G423" s="38"/>
      <c r="H423" s="41"/>
      <c r="I423" s="41"/>
      <c r="J423" s="41"/>
      <c r="K423" s="47" t="str">
        <f t="shared" si="5"/>
        <v/>
      </c>
      <c r="L423" s="47" t="str">
        <f t="shared" si="7"/>
        <v/>
      </c>
      <c r="M423" s="41"/>
      <c r="N423" s="38"/>
      <c r="O423" s="38"/>
      <c r="P423" s="38"/>
    </row>
    <row r="424" ht="15.75" customHeight="1">
      <c r="A424" s="52"/>
      <c r="B424" s="28" t="str">
        <f>IF($A424="","",IFERROR(VLOOKUP($A424,'Resumo por docente'!$A$8:$B$57,2,FALSE),""))</f>
        <v/>
      </c>
      <c r="C424" s="31"/>
      <c r="D424" s="52"/>
      <c r="E424" s="52"/>
      <c r="F424" s="38"/>
      <c r="G424" s="38"/>
      <c r="H424" s="41"/>
      <c r="I424" s="41"/>
      <c r="J424" s="41"/>
      <c r="K424" s="47" t="str">
        <f t="shared" si="5"/>
        <v/>
      </c>
      <c r="L424" s="47" t="str">
        <f t="shared" si="7"/>
        <v/>
      </c>
      <c r="M424" s="41"/>
      <c r="N424" s="38"/>
      <c r="O424" s="38"/>
      <c r="P424" s="38"/>
    </row>
    <row r="425" ht="15.75" customHeight="1">
      <c r="A425" s="52"/>
      <c r="B425" s="28" t="str">
        <f>IF($A425="","",IFERROR(VLOOKUP($A425,'Resumo por docente'!$A$8:$B$57,2,FALSE),""))</f>
        <v/>
      </c>
      <c r="C425" s="31"/>
      <c r="D425" s="52"/>
      <c r="E425" s="52"/>
      <c r="F425" s="38"/>
      <c r="G425" s="38"/>
      <c r="H425" s="41"/>
      <c r="I425" s="41"/>
      <c r="J425" s="41"/>
      <c r="K425" s="47" t="str">
        <f t="shared" si="5"/>
        <v/>
      </c>
      <c r="L425" s="47" t="str">
        <f t="shared" si="7"/>
        <v/>
      </c>
      <c r="M425" s="41"/>
      <c r="N425" s="38"/>
      <c r="O425" s="38"/>
      <c r="P425" s="38"/>
    </row>
    <row r="426" ht="15.75" customHeight="1">
      <c r="A426" s="52"/>
      <c r="B426" s="28" t="str">
        <f>IF($A426="","",IFERROR(VLOOKUP($A426,'Resumo por docente'!$A$8:$B$57,2,FALSE),""))</f>
        <v/>
      </c>
      <c r="C426" s="31"/>
      <c r="D426" s="52"/>
      <c r="E426" s="52"/>
      <c r="F426" s="38"/>
      <c r="G426" s="38"/>
      <c r="H426" s="41"/>
      <c r="I426" s="41"/>
      <c r="J426" s="41"/>
      <c r="K426" s="47" t="str">
        <f t="shared" si="5"/>
        <v/>
      </c>
      <c r="L426" s="47" t="str">
        <f t="shared" si="7"/>
        <v/>
      </c>
      <c r="M426" s="41"/>
      <c r="N426" s="38"/>
      <c r="O426" s="38"/>
      <c r="P426" s="38"/>
    </row>
    <row r="427" ht="15.75" customHeight="1">
      <c r="A427" s="52"/>
      <c r="B427" s="28" t="str">
        <f>IF($A427="","",IFERROR(VLOOKUP($A427,'Resumo por docente'!$A$8:$B$57,2,FALSE),""))</f>
        <v/>
      </c>
      <c r="C427" s="31"/>
      <c r="D427" s="52"/>
      <c r="E427" s="52"/>
      <c r="F427" s="38"/>
      <c r="G427" s="38"/>
      <c r="H427" s="41"/>
      <c r="I427" s="41"/>
      <c r="J427" s="41"/>
      <c r="K427" s="47" t="str">
        <f t="shared" si="5"/>
        <v/>
      </c>
      <c r="L427" s="47" t="str">
        <f t="shared" si="7"/>
        <v/>
      </c>
      <c r="M427" s="41"/>
      <c r="N427" s="38"/>
      <c r="O427" s="38"/>
      <c r="P427" s="38"/>
    </row>
    <row r="428" ht="15.75" customHeight="1">
      <c r="A428" s="52"/>
      <c r="B428" s="28" t="str">
        <f>IF($A428="","",IFERROR(VLOOKUP($A428,'Resumo por docente'!$A$8:$B$57,2,FALSE),""))</f>
        <v/>
      </c>
      <c r="C428" s="31"/>
      <c r="D428" s="52"/>
      <c r="E428" s="52"/>
      <c r="F428" s="38"/>
      <c r="G428" s="38"/>
      <c r="H428" s="41"/>
      <c r="I428" s="41"/>
      <c r="J428" s="41"/>
      <c r="K428" s="47" t="str">
        <f t="shared" si="5"/>
        <v/>
      </c>
      <c r="L428" s="47" t="str">
        <f t="shared" si="7"/>
        <v/>
      </c>
      <c r="M428" s="41"/>
      <c r="N428" s="38"/>
      <c r="O428" s="38"/>
      <c r="P428" s="38"/>
    </row>
    <row r="429" ht="15.75" customHeight="1">
      <c r="A429" s="52"/>
      <c r="B429" s="28" t="str">
        <f>IF($A429="","",IFERROR(VLOOKUP($A429,'Resumo por docente'!$A$8:$B$57,2,FALSE),""))</f>
        <v/>
      </c>
      <c r="C429" s="31"/>
      <c r="D429" s="52"/>
      <c r="E429" s="52"/>
      <c r="F429" s="38"/>
      <c r="G429" s="38"/>
      <c r="H429" s="41"/>
      <c r="I429" s="41"/>
      <c r="J429" s="41"/>
      <c r="K429" s="47" t="str">
        <f t="shared" si="5"/>
        <v/>
      </c>
      <c r="L429" s="47" t="str">
        <f t="shared" si="7"/>
        <v/>
      </c>
      <c r="M429" s="41"/>
      <c r="N429" s="38"/>
      <c r="O429" s="38"/>
      <c r="P429" s="38"/>
    </row>
    <row r="430" ht="15.75" customHeight="1">
      <c r="A430" s="52"/>
      <c r="B430" s="28" t="str">
        <f>IF($A430="","",IFERROR(VLOOKUP($A430,'Resumo por docente'!$A$8:$B$57,2,FALSE),""))</f>
        <v/>
      </c>
      <c r="C430" s="31"/>
      <c r="D430" s="52"/>
      <c r="E430" s="52"/>
      <c r="F430" s="38"/>
      <c r="G430" s="38"/>
      <c r="H430" s="41"/>
      <c r="I430" s="41"/>
      <c r="J430" s="41"/>
      <c r="K430" s="47" t="str">
        <f t="shared" si="5"/>
        <v/>
      </c>
      <c r="L430" s="47" t="str">
        <f t="shared" si="7"/>
        <v/>
      </c>
      <c r="M430" s="41"/>
      <c r="N430" s="38"/>
      <c r="O430" s="38"/>
      <c r="P430" s="38"/>
    </row>
    <row r="431" ht="15.75" customHeight="1">
      <c r="A431" s="52"/>
      <c r="B431" s="28" t="str">
        <f>IF($A431="","",IFERROR(VLOOKUP($A431,'Resumo por docente'!$A$8:$B$57,2,FALSE),""))</f>
        <v/>
      </c>
      <c r="C431" s="31"/>
      <c r="D431" s="52"/>
      <c r="E431" s="52"/>
      <c r="F431" s="38"/>
      <c r="G431" s="38"/>
      <c r="H431" s="41"/>
      <c r="I431" s="41"/>
      <c r="J431" s="41"/>
      <c r="K431" s="47" t="str">
        <f t="shared" si="5"/>
        <v/>
      </c>
      <c r="L431" s="47" t="str">
        <f t="shared" si="7"/>
        <v/>
      </c>
      <c r="M431" s="41"/>
      <c r="N431" s="38"/>
      <c r="O431" s="38"/>
      <c r="P431" s="38"/>
    </row>
    <row r="432" ht="15.75" customHeight="1">
      <c r="A432" s="52"/>
      <c r="B432" s="28" t="str">
        <f>IF($A432="","",IFERROR(VLOOKUP($A432,'Resumo por docente'!$A$8:$B$57,2,FALSE),""))</f>
        <v/>
      </c>
      <c r="C432" s="31"/>
      <c r="D432" s="52"/>
      <c r="E432" s="52"/>
      <c r="F432" s="38"/>
      <c r="G432" s="38"/>
      <c r="H432" s="41"/>
      <c r="I432" s="41"/>
      <c r="J432" s="41"/>
      <c r="K432" s="47" t="str">
        <f t="shared" si="5"/>
        <v/>
      </c>
      <c r="L432" s="47" t="str">
        <f t="shared" si="7"/>
        <v/>
      </c>
      <c r="M432" s="41"/>
      <c r="N432" s="38"/>
      <c r="O432" s="38"/>
      <c r="P432" s="38"/>
    </row>
    <row r="433" ht="15.75" customHeight="1">
      <c r="A433" s="52"/>
      <c r="B433" s="28" t="str">
        <f>IF($A433="","",IFERROR(VLOOKUP($A433,'Resumo por docente'!$A$8:$B$57,2,FALSE),""))</f>
        <v/>
      </c>
      <c r="C433" s="31"/>
      <c r="D433" s="52"/>
      <c r="E433" s="52"/>
      <c r="F433" s="38"/>
      <c r="G433" s="38"/>
      <c r="H433" s="41"/>
      <c r="I433" s="41"/>
      <c r="J433" s="41"/>
      <c r="K433" s="47" t="str">
        <f t="shared" si="5"/>
        <v/>
      </c>
      <c r="L433" s="47" t="str">
        <f t="shared" si="7"/>
        <v/>
      </c>
      <c r="M433" s="41"/>
      <c r="N433" s="38"/>
      <c r="O433" s="38"/>
      <c r="P433" s="38"/>
    </row>
    <row r="434" ht="15.75" customHeight="1">
      <c r="A434" s="52"/>
      <c r="B434" s="28" t="str">
        <f>IF($A434="","",IFERROR(VLOOKUP($A434,'Resumo por docente'!$A$8:$B$57,2,FALSE),""))</f>
        <v/>
      </c>
      <c r="C434" s="31"/>
      <c r="D434" s="52"/>
      <c r="E434" s="52"/>
      <c r="F434" s="38"/>
      <c r="G434" s="38"/>
      <c r="H434" s="41"/>
      <c r="I434" s="41"/>
      <c r="J434" s="41"/>
      <c r="K434" s="47" t="str">
        <f t="shared" si="5"/>
        <v/>
      </c>
      <c r="L434" s="47" t="str">
        <f t="shared" si="7"/>
        <v/>
      </c>
      <c r="M434" s="41"/>
      <c r="N434" s="38"/>
      <c r="O434" s="38"/>
      <c r="P434" s="38"/>
    </row>
    <row r="435" ht="15.75" customHeight="1">
      <c r="A435" s="52"/>
      <c r="B435" s="28" t="str">
        <f>IF($A435="","",IFERROR(VLOOKUP($A435,'Resumo por docente'!$A$8:$B$57,2,FALSE),""))</f>
        <v/>
      </c>
      <c r="C435" s="31"/>
      <c r="D435" s="52"/>
      <c r="E435" s="52"/>
      <c r="F435" s="38"/>
      <c r="G435" s="38"/>
      <c r="H435" s="41"/>
      <c r="I435" s="41"/>
      <c r="J435" s="41"/>
      <c r="K435" s="47" t="str">
        <f t="shared" si="5"/>
        <v/>
      </c>
      <c r="L435" s="47" t="str">
        <f t="shared" si="7"/>
        <v/>
      </c>
      <c r="M435" s="41"/>
      <c r="N435" s="38"/>
      <c r="O435" s="38"/>
      <c r="P435" s="38"/>
    </row>
    <row r="436" ht="15.75" customHeight="1">
      <c r="A436" s="52"/>
      <c r="B436" s="28" t="str">
        <f>IF($A436="","",IFERROR(VLOOKUP($A436,'Resumo por docente'!$A$8:$B$57,2,FALSE),""))</f>
        <v/>
      </c>
      <c r="C436" s="31"/>
      <c r="D436" s="52"/>
      <c r="E436" s="52"/>
      <c r="F436" s="38"/>
      <c r="G436" s="38"/>
      <c r="H436" s="41"/>
      <c r="I436" s="41"/>
      <c r="J436" s="41"/>
      <c r="K436" s="47" t="str">
        <f t="shared" si="5"/>
        <v/>
      </c>
      <c r="L436" s="47" t="str">
        <f t="shared" si="7"/>
        <v/>
      </c>
      <c r="M436" s="41"/>
      <c r="N436" s="38"/>
      <c r="O436" s="38"/>
      <c r="P436" s="38"/>
    </row>
    <row r="437" ht="15.75" customHeight="1">
      <c r="A437" s="52"/>
      <c r="B437" s="28" t="str">
        <f>IF($A437="","",IFERROR(VLOOKUP($A437,'Resumo por docente'!$A$8:$B$57,2,FALSE),""))</f>
        <v/>
      </c>
      <c r="C437" s="31"/>
      <c r="D437" s="52"/>
      <c r="E437" s="52"/>
      <c r="F437" s="38"/>
      <c r="G437" s="38"/>
      <c r="H437" s="41"/>
      <c r="I437" s="41"/>
      <c r="J437" s="41"/>
      <c r="K437" s="47" t="str">
        <f t="shared" si="5"/>
        <v/>
      </c>
      <c r="L437" s="47" t="str">
        <f t="shared" si="7"/>
        <v/>
      </c>
      <c r="M437" s="41"/>
      <c r="N437" s="38"/>
      <c r="O437" s="38"/>
      <c r="P437" s="38"/>
    </row>
    <row r="438" ht="15.75" customHeight="1">
      <c r="A438" s="52"/>
      <c r="B438" s="28" t="str">
        <f>IF($A438="","",IFERROR(VLOOKUP($A438,'Resumo por docente'!$A$8:$B$57,2,FALSE),""))</f>
        <v/>
      </c>
      <c r="C438" s="31"/>
      <c r="D438" s="52"/>
      <c r="E438" s="52"/>
      <c r="F438" s="38"/>
      <c r="G438" s="38"/>
      <c r="H438" s="41"/>
      <c r="I438" s="41"/>
      <c r="J438" s="41"/>
      <c r="K438" s="47" t="str">
        <f t="shared" si="5"/>
        <v/>
      </c>
      <c r="L438" s="47" t="str">
        <f t="shared" si="7"/>
        <v/>
      </c>
      <c r="M438" s="41"/>
      <c r="N438" s="38"/>
      <c r="O438" s="38"/>
      <c r="P438" s="38"/>
    </row>
    <row r="439" ht="15.75" customHeight="1">
      <c r="A439" s="52"/>
      <c r="B439" s="28" t="str">
        <f>IF($A439="","",IFERROR(VLOOKUP($A439,'Resumo por docente'!$A$8:$B$57,2,FALSE),""))</f>
        <v/>
      </c>
      <c r="C439" s="31"/>
      <c r="D439" s="52"/>
      <c r="E439" s="52"/>
      <c r="F439" s="38"/>
      <c r="G439" s="38"/>
      <c r="H439" s="41"/>
      <c r="I439" s="41"/>
      <c r="J439" s="41"/>
      <c r="K439" s="47" t="str">
        <f t="shared" si="5"/>
        <v/>
      </c>
      <c r="L439" s="47" t="str">
        <f t="shared" si="7"/>
        <v/>
      </c>
      <c r="M439" s="41"/>
      <c r="N439" s="38"/>
      <c r="O439" s="38"/>
      <c r="P439" s="38"/>
    </row>
    <row r="440" ht="15.75" customHeight="1">
      <c r="A440" s="52"/>
      <c r="B440" s="28" t="str">
        <f>IF($A440="","",IFERROR(VLOOKUP($A440,'Resumo por docente'!$A$8:$B$57,2,FALSE),""))</f>
        <v/>
      </c>
      <c r="C440" s="31"/>
      <c r="D440" s="52"/>
      <c r="E440" s="52"/>
      <c r="F440" s="38"/>
      <c r="G440" s="38"/>
      <c r="H440" s="41"/>
      <c r="I440" s="41"/>
      <c r="J440" s="41"/>
      <c r="K440" s="47" t="str">
        <f t="shared" si="5"/>
        <v/>
      </c>
      <c r="L440" s="47" t="str">
        <f t="shared" si="7"/>
        <v/>
      </c>
      <c r="M440" s="41"/>
      <c r="N440" s="38"/>
      <c r="O440" s="38"/>
      <c r="P440" s="38"/>
    </row>
    <row r="441" ht="15.75" customHeight="1">
      <c r="A441" s="52"/>
      <c r="B441" s="28" t="str">
        <f>IF($A441="","",IFERROR(VLOOKUP($A441,'Resumo por docente'!$A$8:$B$57,2,FALSE),""))</f>
        <v/>
      </c>
      <c r="C441" s="31"/>
      <c r="D441" s="52"/>
      <c r="E441" s="52"/>
      <c r="F441" s="38"/>
      <c r="G441" s="38"/>
      <c r="H441" s="41"/>
      <c r="I441" s="41"/>
      <c r="J441" s="41"/>
      <c r="K441" s="47" t="str">
        <f t="shared" si="5"/>
        <v/>
      </c>
      <c r="L441" s="47" t="str">
        <f t="shared" si="7"/>
        <v/>
      </c>
      <c r="M441" s="41"/>
      <c r="N441" s="38"/>
      <c r="O441" s="38"/>
      <c r="P441" s="38"/>
    </row>
    <row r="442" ht="15.75" customHeight="1">
      <c r="A442" s="52"/>
      <c r="B442" s="28" t="str">
        <f>IF($A442="","",IFERROR(VLOOKUP($A442,'Resumo por docente'!$A$8:$B$57,2,FALSE),""))</f>
        <v/>
      </c>
      <c r="C442" s="31"/>
      <c r="D442" s="52"/>
      <c r="E442" s="52"/>
      <c r="F442" s="38"/>
      <c r="G442" s="38"/>
      <c r="H442" s="41"/>
      <c r="I442" s="41"/>
      <c r="J442" s="41"/>
      <c r="K442" s="47" t="str">
        <f t="shared" si="5"/>
        <v/>
      </c>
      <c r="L442" s="47" t="str">
        <f t="shared" si="7"/>
        <v/>
      </c>
      <c r="M442" s="41"/>
      <c r="N442" s="38"/>
      <c r="O442" s="38"/>
      <c r="P442" s="38"/>
    </row>
    <row r="443" ht="15.75" customHeight="1">
      <c r="A443" s="52"/>
      <c r="B443" s="28" t="str">
        <f>IF($A443="","",IFERROR(VLOOKUP($A443,'Resumo por docente'!$A$8:$B$57,2,FALSE),""))</f>
        <v/>
      </c>
      <c r="C443" s="31"/>
      <c r="D443" s="52"/>
      <c r="E443" s="52"/>
      <c r="F443" s="38"/>
      <c r="G443" s="38"/>
      <c r="H443" s="41"/>
      <c r="I443" s="41"/>
      <c r="J443" s="41"/>
      <c r="K443" s="47" t="str">
        <f t="shared" si="5"/>
        <v/>
      </c>
      <c r="L443" s="47" t="str">
        <f t="shared" si="7"/>
        <v/>
      </c>
      <c r="M443" s="41"/>
      <c r="N443" s="38"/>
      <c r="O443" s="38"/>
      <c r="P443" s="38"/>
    </row>
    <row r="444" ht="15.75" customHeight="1">
      <c r="A444" s="52"/>
      <c r="B444" s="28" t="str">
        <f>IF($A444="","",IFERROR(VLOOKUP($A444,'Resumo por docente'!$A$8:$B$57,2,FALSE),""))</f>
        <v/>
      </c>
      <c r="C444" s="31"/>
      <c r="D444" s="52"/>
      <c r="E444" s="52"/>
      <c r="F444" s="38"/>
      <c r="G444" s="38"/>
      <c r="H444" s="41"/>
      <c r="I444" s="41"/>
      <c r="J444" s="41"/>
      <c r="K444" s="47" t="str">
        <f t="shared" si="5"/>
        <v/>
      </c>
      <c r="L444" s="47" t="str">
        <f t="shared" si="7"/>
        <v/>
      </c>
      <c r="M444" s="41"/>
      <c r="N444" s="38"/>
      <c r="O444" s="38"/>
      <c r="P444" s="38"/>
    </row>
    <row r="445" ht="15.75" customHeight="1">
      <c r="A445" s="52"/>
      <c r="B445" s="28" t="str">
        <f>IF($A445="","",IFERROR(VLOOKUP($A445,'Resumo por docente'!$A$8:$B$57,2,FALSE),""))</f>
        <v/>
      </c>
      <c r="C445" s="31"/>
      <c r="D445" s="52"/>
      <c r="E445" s="52"/>
      <c r="F445" s="38"/>
      <c r="G445" s="38"/>
      <c r="H445" s="41"/>
      <c r="I445" s="41"/>
      <c r="J445" s="41"/>
      <c r="K445" s="47" t="str">
        <f t="shared" si="5"/>
        <v/>
      </c>
      <c r="L445" s="47" t="str">
        <f t="shared" si="7"/>
        <v/>
      </c>
      <c r="M445" s="41"/>
      <c r="N445" s="38"/>
      <c r="O445" s="38"/>
      <c r="P445" s="38"/>
    </row>
    <row r="446" ht="15.75" customHeight="1">
      <c r="A446" s="52"/>
      <c r="B446" s="28" t="str">
        <f>IF($A446="","",IFERROR(VLOOKUP($A446,'Resumo por docente'!$A$8:$B$57,2,FALSE),""))</f>
        <v/>
      </c>
      <c r="C446" s="31"/>
      <c r="D446" s="52"/>
      <c r="E446" s="52"/>
      <c r="F446" s="38"/>
      <c r="G446" s="38"/>
      <c r="H446" s="41"/>
      <c r="I446" s="41"/>
      <c r="J446" s="41"/>
      <c r="K446" s="47" t="str">
        <f t="shared" si="5"/>
        <v/>
      </c>
      <c r="L446" s="47" t="str">
        <f t="shared" si="7"/>
        <v/>
      </c>
      <c r="M446" s="41"/>
      <c r="N446" s="38"/>
      <c r="O446" s="38"/>
      <c r="P446" s="38"/>
    </row>
    <row r="447" ht="15.75" customHeight="1">
      <c r="A447" s="52"/>
      <c r="B447" s="28" t="str">
        <f>IF($A447="","",IFERROR(VLOOKUP($A447,'Resumo por docente'!$A$8:$B$57,2,FALSE),""))</f>
        <v/>
      </c>
      <c r="C447" s="31"/>
      <c r="D447" s="52"/>
      <c r="E447" s="52"/>
      <c r="F447" s="38"/>
      <c r="G447" s="38"/>
      <c r="H447" s="41"/>
      <c r="I447" s="41"/>
      <c r="J447" s="41"/>
      <c r="K447" s="47" t="str">
        <f t="shared" si="5"/>
        <v/>
      </c>
      <c r="L447" s="47" t="str">
        <f t="shared" si="7"/>
        <v/>
      </c>
      <c r="M447" s="41"/>
      <c r="N447" s="38"/>
      <c r="O447" s="38"/>
      <c r="P447" s="38"/>
    </row>
    <row r="448" ht="15.75" customHeight="1">
      <c r="A448" s="52"/>
      <c r="B448" s="28" t="str">
        <f>IF($A448="","",IFERROR(VLOOKUP($A448,'Resumo por docente'!$A$8:$B$57,2,FALSE),""))</f>
        <v/>
      </c>
      <c r="C448" s="31"/>
      <c r="D448" s="52"/>
      <c r="E448" s="52"/>
      <c r="F448" s="38"/>
      <c r="G448" s="38"/>
      <c r="H448" s="41"/>
      <c r="I448" s="41"/>
      <c r="J448" s="41"/>
      <c r="K448" s="47" t="str">
        <f t="shared" si="5"/>
        <v/>
      </c>
      <c r="L448" s="47" t="str">
        <f t="shared" si="7"/>
        <v/>
      </c>
      <c r="M448" s="41"/>
      <c r="N448" s="38"/>
      <c r="O448" s="38"/>
      <c r="P448" s="38"/>
    </row>
    <row r="449" ht="15.75" customHeight="1">
      <c r="A449" s="52"/>
      <c r="B449" s="28" t="str">
        <f>IF($A449="","",IFERROR(VLOOKUP($A449,'Resumo por docente'!$A$8:$B$57,2,FALSE),""))</f>
        <v/>
      </c>
      <c r="C449" s="31"/>
      <c r="D449" s="52"/>
      <c r="E449" s="52"/>
      <c r="F449" s="38"/>
      <c r="G449" s="38"/>
      <c r="H449" s="41"/>
      <c r="I449" s="41"/>
      <c r="J449" s="41"/>
      <c r="K449" s="47" t="str">
        <f t="shared" si="5"/>
        <v/>
      </c>
      <c r="L449" s="47" t="str">
        <f t="shared" si="7"/>
        <v/>
      </c>
      <c r="M449" s="41"/>
      <c r="N449" s="38"/>
      <c r="O449" s="38"/>
      <c r="P449" s="38"/>
    </row>
    <row r="450" ht="15.75" customHeight="1">
      <c r="A450" s="52"/>
      <c r="B450" s="28" t="str">
        <f>IF($A450="","",IFERROR(VLOOKUP($A450,'Resumo por docente'!$A$8:$B$57,2,FALSE),""))</f>
        <v/>
      </c>
      <c r="C450" s="31"/>
      <c r="D450" s="52"/>
      <c r="E450" s="52"/>
      <c r="F450" s="38"/>
      <c r="G450" s="38"/>
      <c r="H450" s="41"/>
      <c r="I450" s="41"/>
      <c r="J450" s="41"/>
      <c r="K450" s="47" t="str">
        <f t="shared" si="5"/>
        <v/>
      </c>
      <c r="L450" s="47" t="str">
        <f t="shared" si="7"/>
        <v/>
      </c>
      <c r="M450" s="41"/>
      <c r="N450" s="38"/>
      <c r="O450" s="38"/>
      <c r="P450" s="38"/>
    </row>
    <row r="451" ht="15.75" customHeight="1">
      <c r="A451" s="52"/>
      <c r="B451" s="28" t="str">
        <f>IF($A451="","",IFERROR(VLOOKUP($A451,'Resumo por docente'!$A$8:$B$57,2,FALSE),""))</f>
        <v/>
      </c>
      <c r="C451" s="31"/>
      <c r="D451" s="52"/>
      <c r="E451" s="52"/>
      <c r="F451" s="38"/>
      <c r="G451" s="38"/>
      <c r="H451" s="41"/>
      <c r="I451" s="41"/>
      <c r="J451" s="41"/>
      <c r="K451" s="47" t="str">
        <f t="shared" si="5"/>
        <v/>
      </c>
      <c r="L451" s="47" t="str">
        <f t="shared" si="7"/>
        <v/>
      </c>
      <c r="M451" s="41"/>
      <c r="N451" s="38"/>
      <c r="O451" s="38"/>
      <c r="P451" s="38"/>
    </row>
    <row r="452" ht="15.75" customHeight="1">
      <c r="A452" s="52"/>
      <c r="B452" s="28" t="str">
        <f>IF($A452="","",IFERROR(VLOOKUP($A452,'Resumo por docente'!$A$8:$B$57,2,FALSE),""))</f>
        <v/>
      </c>
      <c r="C452" s="31"/>
      <c r="D452" s="52"/>
      <c r="E452" s="52"/>
      <c r="F452" s="38"/>
      <c r="G452" s="38"/>
      <c r="H452" s="41"/>
      <c r="I452" s="41"/>
      <c r="J452" s="41"/>
      <c r="K452" s="47" t="str">
        <f t="shared" si="5"/>
        <v/>
      </c>
      <c r="L452" s="47" t="str">
        <f t="shared" si="7"/>
        <v/>
      </c>
      <c r="M452" s="41"/>
      <c r="N452" s="38"/>
      <c r="O452" s="38"/>
      <c r="P452" s="38"/>
    </row>
    <row r="453" ht="15.75" customHeight="1">
      <c r="A453" s="52"/>
      <c r="B453" s="28" t="str">
        <f>IF($A453="","",IFERROR(VLOOKUP($A453,'Resumo por docente'!$A$8:$B$57,2,FALSE),""))</f>
        <v/>
      </c>
      <c r="C453" s="31"/>
      <c r="D453" s="52"/>
      <c r="E453" s="52"/>
      <c r="F453" s="38"/>
      <c r="G453" s="38"/>
      <c r="H453" s="41"/>
      <c r="I453" s="41"/>
      <c r="J453" s="41"/>
      <c r="K453" s="47" t="str">
        <f t="shared" si="5"/>
        <v/>
      </c>
      <c r="L453" s="47" t="str">
        <f t="shared" si="7"/>
        <v/>
      </c>
      <c r="M453" s="41"/>
      <c r="N453" s="38"/>
      <c r="O453" s="38"/>
      <c r="P453" s="38"/>
    </row>
    <row r="454" ht="15.75" customHeight="1">
      <c r="A454" s="52"/>
      <c r="B454" s="28" t="str">
        <f>IF($A454="","",IFERROR(VLOOKUP($A454,'Resumo por docente'!$A$8:$B$57,2,FALSE),""))</f>
        <v/>
      </c>
      <c r="C454" s="31"/>
      <c r="D454" s="52"/>
      <c r="E454" s="52"/>
      <c r="F454" s="38"/>
      <c r="G454" s="38"/>
      <c r="H454" s="41"/>
      <c r="I454" s="41"/>
      <c r="J454" s="41"/>
      <c r="K454" s="47" t="str">
        <f t="shared" si="5"/>
        <v/>
      </c>
      <c r="L454" s="47" t="str">
        <f t="shared" si="7"/>
        <v/>
      </c>
      <c r="M454" s="41"/>
      <c r="N454" s="38"/>
      <c r="O454" s="38"/>
      <c r="P454" s="38"/>
    </row>
    <row r="455" ht="15.75" customHeight="1">
      <c r="A455" s="52"/>
      <c r="B455" s="28" t="str">
        <f>IF($A455="","",IFERROR(VLOOKUP($A455,'Resumo por docente'!$A$8:$B$57,2,FALSE),""))</f>
        <v/>
      </c>
      <c r="C455" s="31"/>
      <c r="D455" s="52"/>
      <c r="E455" s="52"/>
      <c r="F455" s="38"/>
      <c r="G455" s="38"/>
      <c r="H455" s="41"/>
      <c r="I455" s="41"/>
      <c r="J455" s="41"/>
      <c r="K455" s="47" t="str">
        <f t="shared" si="5"/>
        <v/>
      </c>
      <c r="L455" s="47" t="str">
        <f t="shared" si="7"/>
        <v/>
      </c>
      <c r="M455" s="41"/>
      <c r="N455" s="38"/>
      <c r="O455" s="38"/>
      <c r="P455" s="38"/>
    </row>
    <row r="456" ht="15.75" customHeight="1">
      <c r="A456" s="52"/>
      <c r="B456" s="28" t="str">
        <f>IF($A456="","",IFERROR(VLOOKUP($A456,'Resumo por docente'!$A$8:$B$57,2,FALSE),""))</f>
        <v/>
      </c>
      <c r="C456" s="31"/>
      <c r="D456" s="52"/>
      <c r="E456" s="52"/>
      <c r="F456" s="38"/>
      <c r="G456" s="38"/>
      <c r="H456" s="41"/>
      <c r="I456" s="41"/>
      <c r="J456" s="41"/>
      <c r="K456" s="47" t="str">
        <f t="shared" si="5"/>
        <v/>
      </c>
      <c r="L456" s="47" t="str">
        <f t="shared" si="7"/>
        <v/>
      </c>
      <c r="M456" s="41"/>
      <c r="N456" s="38"/>
      <c r="O456" s="38"/>
      <c r="P456" s="38"/>
    </row>
    <row r="457" ht="15.75" customHeight="1">
      <c r="A457" s="52"/>
      <c r="B457" s="28" t="str">
        <f>IF($A457="","",IFERROR(VLOOKUP($A457,'Resumo por docente'!$A$8:$B$57,2,FALSE),""))</f>
        <v/>
      </c>
      <c r="C457" s="31"/>
      <c r="D457" s="52"/>
      <c r="E457" s="52"/>
      <c r="F457" s="38"/>
      <c r="G457" s="38"/>
      <c r="H457" s="41"/>
      <c r="I457" s="41"/>
      <c r="J457" s="41"/>
      <c r="K457" s="47" t="str">
        <f t="shared" si="5"/>
        <v/>
      </c>
      <c r="L457" s="47" t="str">
        <f t="shared" si="7"/>
        <v/>
      </c>
      <c r="M457" s="41"/>
      <c r="N457" s="38"/>
      <c r="O457" s="38"/>
      <c r="P457" s="38"/>
    </row>
    <row r="458" ht="15.75" customHeight="1">
      <c r="A458" s="52"/>
      <c r="B458" s="28" t="str">
        <f>IF($A458="","",IFERROR(VLOOKUP($A458,'Resumo por docente'!$A$8:$B$57,2,FALSE),""))</f>
        <v/>
      </c>
      <c r="C458" s="31"/>
      <c r="D458" s="52"/>
      <c r="E458" s="52"/>
      <c r="F458" s="38"/>
      <c r="G458" s="38"/>
      <c r="H458" s="41"/>
      <c r="I458" s="41"/>
      <c r="J458" s="41"/>
      <c r="K458" s="47" t="str">
        <f t="shared" si="5"/>
        <v/>
      </c>
      <c r="L458" s="47" t="str">
        <f t="shared" si="7"/>
        <v/>
      </c>
      <c r="M458" s="41"/>
      <c r="N458" s="38"/>
      <c r="O458" s="38"/>
      <c r="P458" s="38"/>
    </row>
    <row r="459" ht="15.75" customHeight="1">
      <c r="A459" s="52"/>
      <c r="B459" s="28" t="str">
        <f>IF($A459="","",IFERROR(VLOOKUP($A459,'Resumo por docente'!$A$8:$B$57,2,FALSE),""))</f>
        <v/>
      </c>
      <c r="C459" s="31"/>
      <c r="D459" s="52"/>
      <c r="E459" s="52"/>
      <c r="F459" s="38"/>
      <c r="G459" s="38"/>
      <c r="H459" s="41"/>
      <c r="I459" s="41"/>
      <c r="J459" s="41"/>
      <c r="K459" s="47" t="str">
        <f t="shared" si="5"/>
        <v/>
      </c>
      <c r="L459" s="47" t="str">
        <f t="shared" si="7"/>
        <v/>
      </c>
      <c r="M459" s="41"/>
      <c r="N459" s="38"/>
      <c r="O459" s="38"/>
      <c r="P459" s="38"/>
    </row>
    <row r="460" ht="15.75" customHeight="1">
      <c r="A460" s="52"/>
      <c r="B460" s="28" t="str">
        <f>IF($A460="","",IFERROR(VLOOKUP($A460,'Resumo por docente'!$A$8:$B$57,2,FALSE),""))</f>
        <v/>
      </c>
      <c r="C460" s="31"/>
      <c r="D460" s="52"/>
      <c r="E460" s="52"/>
      <c r="F460" s="38"/>
      <c r="G460" s="38"/>
      <c r="H460" s="41"/>
      <c r="I460" s="41"/>
      <c r="J460" s="41"/>
      <c r="K460" s="47" t="str">
        <f t="shared" si="5"/>
        <v/>
      </c>
      <c r="L460" s="47" t="str">
        <f t="shared" si="7"/>
        <v/>
      </c>
      <c r="M460" s="41"/>
      <c r="N460" s="38"/>
      <c r="O460" s="38"/>
      <c r="P460" s="38"/>
    </row>
    <row r="461" ht="15.75" customHeight="1">
      <c r="A461" s="52"/>
      <c r="B461" s="28" t="str">
        <f>IF($A461="","",IFERROR(VLOOKUP($A461,'Resumo por docente'!$A$8:$B$57,2,FALSE),""))</f>
        <v/>
      </c>
      <c r="C461" s="31"/>
      <c r="D461" s="52"/>
      <c r="E461" s="52"/>
      <c r="F461" s="38"/>
      <c r="G461" s="38"/>
      <c r="H461" s="41"/>
      <c r="I461" s="41"/>
      <c r="J461" s="41"/>
      <c r="K461" s="47" t="str">
        <f t="shared" si="5"/>
        <v/>
      </c>
      <c r="L461" s="47" t="str">
        <f t="shared" si="7"/>
        <v/>
      </c>
      <c r="M461" s="41"/>
      <c r="N461" s="38"/>
      <c r="O461" s="38"/>
      <c r="P461" s="38"/>
    </row>
    <row r="462" ht="15.75" customHeight="1">
      <c r="A462" s="52"/>
      <c r="B462" s="28" t="str">
        <f>IF($A462="","",IFERROR(VLOOKUP($A462,'Resumo por docente'!$A$8:$B$57,2,FALSE),""))</f>
        <v/>
      </c>
      <c r="C462" s="31"/>
      <c r="D462" s="52"/>
      <c r="E462" s="52"/>
      <c r="F462" s="38"/>
      <c r="G462" s="38"/>
      <c r="H462" s="41"/>
      <c r="I462" s="41"/>
      <c r="J462" s="41"/>
      <c r="K462" s="47" t="str">
        <f t="shared" si="5"/>
        <v/>
      </c>
      <c r="L462" s="47" t="str">
        <f t="shared" si="7"/>
        <v/>
      </c>
      <c r="M462" s="41"/>
      <c r="N462" s="38"/>
      <c r="O462" s="38"/>
      <c r="P462" s="38"/>
    </row>
    <row r="463" ht="15.75" customHeight="1">
      <c r="A463" s="52"/>
      <c r="B463" s="28" t="str">
        <f>IF($A463="","",IFERROR(VLOOKUP($A463,'Resumo por docente'!$A$8:$B$57,2,FALSE),""))</f>
        <v/>
      </c>
      <c r="C463" s="31"/>
      <c r="D463" s="52"/>
      <c r="E463" s="52"/>
      <c r="F463" s="38"/>
      <c r="G463" s="38"/>
      <c r="H463" s="41"/>
      <c r="I463" s="41"/>
      <c r="J463" s="41"/>
      <c r="K463" s="47" t="str">
        <f t="shared" si="5"/>
        <v/>
      </c>
      <c r="L463" s="47" t="str">
        <f t="shared" si="7"/>
        <v/>
      </c>
      <c r="M463" s="41"/>
      <c r="N463" s="38"/>
      <c r="O463" s="38"/>
      <c r="P463" s="38"/>
    </row>
    <row r="464" ht="15.75" customHeight="1">
      <c r="A464" s="52"/>
      <c r="B464" s="28" t="str">
        <f>IF($A464="","",IFERROR(VLOOKUP($A464,'Resumo por docente'!$A$8:$B$57,2,FALSE),""))</f>
        <v/>
      </c>
      <c r="C464" s="31"/>
      <c r="D464" s="52"/>
      <c r="E464" s="52"/>
      <c r="F464" s="38"/>
      <c r="G464" s="38"/>
      <c r="H464" s="41"/>
      <c r="I464" s="41"/>
      <c r="J464" s="41"/>
      <c r="K464" s="47" t="str">
        <f t="shared" si="5"/>
        <v/>
      </c>
      <c r="L464" s="47" t="str">
        <f t="shared" si="7"/>
        <v/>
      </c>
      <c r="M464" s="41"/>
      <c r="N464" s="38"/>
      <c r="O464" s="38"/>
      <c r="P464" s="38"/>
    </row>
    <row r="465" ht="15.75" customHeight="1">
      <c r="A465" s="52"/>
      <c r="B465" s="28" t="str">
        <f>IF($A465="","",IFERROR(VLOOKUP($A465,'Resumo por docente'!$A$8:$B$57,2,FALSE),""))</f>
        <v/>
      </c>
      <c r="C465" s="31"/>
      <c r="D465" s="52"/>
      <c r="E465" s="52"/>
      <c r="F465" s="38"/>
      <c r="G465" s="38"/>
      <c r="H465" s="41"/>
      <c r="I465" s="41"/>
      <c r="J465" s="41"/>
      <c r="K465" s="47" t="str">
        <f t="shared" si="5"/>
        <v/>
      </c>
      <c r="L465" s="47" t="str">
        <f t="shared" si="7"/>
        <v/>
      </c>
      <c r="M465" s="41"/>
      <c r="N465" s="38"/>
      <c r="O465" s="38"/>
      <c r="P465" s="38"/>
    </row>
    <row r="466" ht="15.75" customHeight="1">
      <c r="A466" s="52"/>
      <c r="B466" s="28" t="str">
        <f>IF($A466="","",IFERROR(VLOOKUP($A466,'Resumo por docente'!$A$8:$B$57,2,FALSE),""))</f>
        <v/>
      </c>
      <c r="C466" s="31"/>
      <c r="D466" s="52"/>
      <c r="E466" s="52"/>
      <c r="F466" s="38"/>
      <c r="G466" s="38"/>
      <c r="H466" s="41"/>
      <c r="I466" s="41"/>
      <c r="J466" s="41"/>
      <c r="K466" s="47" t="str">
        <f t="shared" si="5"/>
        <v/>
      </c>
      <c r="L466" s="47" t="str">
        <f t="shared" si="7"/>
        <v/>
      </c>
      <c r="M466" s="41"/>
      <c r="N466" s="38"/>
      <c r="O466" s="38"/>
      <c r="P466" s="38"/>
    </row>
    <row r="467" ht="15.75" customHeight="1">
      <c r="A467" s="52"/>
      <c r="B467" s="28" t="str">
        <f>IF($A467="","",IFERROR(VLOOKUP($A467,'Resumo por docente'!$A$8:$B$57,2,FALSE),""))</f>
        <v/>
      </c>
      <c r="C467" s="31"/>
      <c r="D467" s="52"/>
      <c r="E467" s="52"/>
      <c r="F467" s="38"/>
      <c r="G467" s="38"/>
      <c r="H467" s="41"/>
      <c r="I467" s="41"/>
      <c r="J467" s="41"/>
      <c r="K467" s="47" t="str">
        <f t="shared" si="5"/>
        <v/>
      </c>
      <c r="L467" s="47" t="str">
        <f t="shared" si="7"/>
        <v/>
      </c>
      <c r="M467" s="41"/>
      <c r="N467" s="38"/>
      <c r="O467" s="38"/>
      <c r="P467" s="38"/>
    </row>
    <row r="468" ht="15.75" customHeight="1">
      <c r="A468" s="52"/>
      <c r="B468" s="28" t="str">
        <f>IF($A468="","",IFERROR(VLOOKUP($A468,'Resumo por docente'!$A$8:$B$57,2,FALSE),""))</f>
        <v/>
      </c>
      <c r="C468" s="31"/>
      <c r="D468" s="52"/>
      <c r="E468" s="52"/>
      <c r="F468" s="38"/>
      <c r="G468" s="38"/>
      <c r="H468" s="41"/>
      <c r="I468" s="41"/>
      <c r="J468" s="41"/>
      <c r="K468" s="47" t="str">
        <f t="shared" si="5"/>
        <v/>
      </c>
      <c r="L468" s="47" t="str">
        <f t="shared" si="7"/>
        <v/>
      </c>
      <c r="M468" s="41"/>
      <c r="N468" s="38"/>
      <c r="O468" s="38"/>
      <c r="P468" s="38"/>
    </row>
    <row r="469" ht="15.75" customHeight="1">
      <c r="A469" s="52"/>
      <c r="B469" s="28" t="str">
        <f>IF($A469="","",IFERROR(VLOOKUP($A469,'Resumo por docente'!$A$8:$B$57,2,FALSE),""))</f>
        <v/>
      </c>
      <c r="C469" s="31"/>
      <c r="D469" s="52"/>
      <c r="E469" s="52"/>
      <c r="F469" s="38"/>
      <c r="G469" s="38"/>
      <c r="H469" s="41"/>
      <c r="I469" s="41"/>
      <c r="J469" s="41"/>
      <c r="K469" s="47" t="str">
        <f t="shared" si="5"/>
        <v/>
      </c>
      <c r="L469" s="47" t="str">
        <f t="shared" si="7"/>
        <v/>
      </c>
      <c r="M469" s="41"/>
      <c r="N469" s="38"/>
      <c r="O469" s="38"/>
      <c r="P469" s="38"/>
    </row>
    <row r="470" ht="15.75" customHeight="1">
      <c r="A470" s="52"/>
      <c r="B470" s="28" t="str">
        <f>IF($A470="","",IFERROR(VLOOKUP($A470,'Resumo por docente'!$A$8:$B$57,2,FALSE),""))</f>
        <v/>
      </c>
      <c r="C470" s="31"/>
      <c r="D470" s="52"/>
      <c r="E470" s="52"/>
      <c r="F470" s="38"/>
      <c r="G470" s="38"/>
      <c r="H470" s="41"/>
      <c r="I470" s="41"/>
      <c r="J470" s="41"/>
      <c r="K470" s="47" t="str">
        <f t="shared" si="5"/>
        <v/>
      </c>
      <c r="L470" s="47" t="str">
        <f t="shared" si="7"/>
        <v/>
      </c>
      <c r="M470" s="41"/>
      <c r="N470" s="38"/>
      <c r="O470" s="38"/>
      <c r="P470" s="38"/>
    </row>
    <row r="471" ht="15.75" customHeight="1">
      <c r="A471" s="52"/>
      <c r="B471" s="28" t="str">
        <f>IF($A471="","",IFERROR(VLOOKUP($A471,'Resumo por docente'!$A$8:$B$57,2,FALSE),""))</f>
        <v/>
      </c>
      <c r="C471" s="31"/>
      <c r="D471" s="52"/>
      <c r="E471" s="52"/>
      <c r="F471" s="38"/>
      <c r="G471" s="38"/>
      <c r="H471" s="41"/>
      <c r="I471" s="41"/>
      <c r="J471" s="41"/>
      <c r="K471" s="47" t="str">
        <f t="shared" si="5"/>
        <v/>
      </c>
      <c r="L471" s="47" t="str">
        <f t="shared" si="7"/>
        <v/>
      </c>
      <c r="M471" s="41"/>
      <c r="N471" s="38"/>
      <c r="O471" s="38"/>
      <c r="P471" s="38"/>
    </row>
    <row r="472" ht="15.75" customHeight="1">
      <c r="A472" s="52"/>
      <c r="B472" s="28" t="str">
        <f>IF($A472="","",IFERROR(VLOOKUP($A472,'Resumo por docente'!$A$8:$B$57,2,FALSE),""))</f>
        <v/>
      </c>
      <c r="C472" s="31"/>
      <c r="D472" s="52"/>
      <c r="E472" s="52"/>
      <c r="F472" s="38"/>
      <c r="G472" s="38"/>
      <c r="H472" s="41"/>
      <c r="I472" s="41"/>
      <c r="J472" s="41"/>
      <c r="K472" s="47" t="str">
        <f t="shared" si="5"/>
        <v/>
      </c>
      <c r="L472" s="47" t="str">
        <f t="shared" si="7"/>
        <v/>
      </c>
      <c r="M472" s="41"/>
      <c r="N472" s="38"/>
      <c r="O472" s="38"/>
      <c r="P472" s="38"/>
    </row>
    <row r="473" ht="15.75" customHeight="1">
      <c r="A473" s="52"/>
      <c r="B473" s="28" t="str">
        <f>IF($A473="","",IFERROR(VLOOKUP($A473,'Resumo por docente'!$A$8:$B$57,2,FALSE),""))</f>
        <v/>
      </c>
      <c r="C473" s="31"/>
      <c r="D473" s="52"/>
      <c r="E473" s="52"/>
      <c r="F473" s="38"/>
      <c r="G473" s="38"/>
      <c r="H473" s="41"/>
      <c r="I473" s="41"/>
      <c r="J473" s="41"/>
      <c r="K473" s="47" t="str">
        <f t="shared" si="5"/>
        <v/>
      </c>
      <c r="L473" s="47" t="str">
        <f t="shared" si="7"/>
        <v/>
      </c>
      <c r="M473" s="41"/>
      <c r="N473" s="38"/>
      <c r="O473" s="38"/>
      <c r="P473" s="38"/>
    </row>
    <row r="474" ht="15.75" customHeight="1">
      <c r="A474" s="52"/>
      <c r="B474" s="28" t="str">
        <f>IF($A474="","",IFERROR(VLOOKUP($A474,'Resumo por docente'!$A$8:$B$57,2,FALSE),""))</f>
        <v/>
      </c>
      <c r="C474" s="31"/>
      <c r="D474" s="52"/>
      <c r="E474" s="52"/>
      <c r="F474" s="38"/>
      <c r="G474" s="38"/>
      <c r="H474" s="41"/>
      <c r="I474" s="41"/>
      <c r="J474" s="41"/>
      <c r="K474" s="47" t="str">
        <f t="shared" si="5"/>
        <v/>
      </c>
      <c r="L474" s="47" t="str">
        <f t="shared" si="7"/>
        <v/>
      </c>
      <c r="M474" s="41"/>
      <c r="N474" s="38"/>
      <c r="O474" s="38"/>
      <c r="P474" s="38"/>
    </row>
    <row r="475" ht="15.75" customHeight="1">
      <c r="A475" s="52"/>
      <c r="B475" s="28" t="str">
        <f>IF($A475="","",IFERROR(VLOOKUP($A475,'Resumo por docente'!$A$8:$B$57,2,FALSE),""))</f>
        <v/>
      </c>
      <c r="C475" s="31"/>
      <c r="D475" s="52"/>
      <c r="E475" s="52"/>
      <c r="F475" s="38"/>
      <c r="G475" s="38"/>
      <c r="H475" s="41"/>
      <c r="I475" s="41"/>
      <c r="J475" s="41"/>
      <c r="K475" s="47" t="str">
        <f t="shared" si="5"/>
        <v/>
      </c>
      <c r="L475" s="47" t="str">
        <f t="shared" si="7"/>
        <v/>
      </c>
      <c r="M475" s="41"/>
      <c r="N475" s="38"/>
      <c r="O475" s="38"/>
      <c r="P475" s="38"/>
    </row>
    <row r="476" ht="15.75" customHeight="1">
      <c r="A476" s="52"/>
      <c r="B476" s="28" t="str">
        <f>IF($A476="","",IFERROR(VLOOKUP($A476,'Resumo por docente'!$A$8:$B$57,2,FALSE),""))</f>
        <v/>
      </c>
      <c r="C476" s="31"/>
      <c r="D476" s="52"/>
      <c r="E476" s="52"/>
      <c r="F476" s="38"/>
      <c r="G476" s="38"/>
      <c r="H476" s="41"/>
      <c r="I476" s="41"/>
      <c r="J476" s="41"/>
      <c r="K476" s="47" t="str">
        <f t="shared" si="5"/>
        <v/>
      </c>
      <c r="L476" s="47" t="str">
        <f t="shared" si="7"/>
        <v/>
      </c>
      <c r="M476" s="41"/>
      <c r="N476" s="38"/>
      <c r="O476" s="38"/>
      <c r="P476" s="38"/>
    </row>
    <row r="477" ht="15.75" customHeight="1">
      <c r="A477" s="52"/>
      <c r="B477" s="28" t="str">
        <f>IF($A477="","",IFERROR(VLOOKUP($A477,'Resumo por docente'!$A$8:$B$57,2,FALSE),""))</f>
        <v/>
      </c>
      <c r="C477" s="31"/>
      <c r="D477" s="52"/>
      <c r="E477" s="52"/>
      <c r="F477" s="38"/>
      <c r="G477" s="38"/>
      <c r="H477" s="41"/>
      <c r="I477" s="41"/>
      <c r="J477" s="41"/>
      <c r="K477" s="47" t="str">
        <f t="shared" si="5"/>
        <v/>
      </c>
      <c r="L477" s="47" t="str">
        <f t="shared" si="7"/>
        <v/>
      </c>
      <c r="M477" s="41"/>
      <c r="N477" s="38"/>
      <c r="O477" s="38"/>
      <c r="P477" s="38"/>
    </row>
    <row r="478" ht="15.75" customHeight="1">
      <c r="A478" s="52"/>
      <c r="B478" s="28" t="str">
        <f>IF($A478="","",IFERROR(VLOOKUP($A478,'Resumo por docente'!$A$8:$B$57,2,FALSE),""))</f>
        <v/>
      </c>
      <c r="C478" s="31"/>
      <c r="D478" s="52"/>
      <c r="E478" s="52"/>
      <c r="F478" s="38"/>
      <c r="G478" s="38"/>
      <c r="H478" s="41"/>
      <c r="I478" s="41"/>
      <c r="J478" s="41"/>
      <c r="K478" s="47" t="str">
        <f t="shared" si="5"/>
        <v/>
      </c>
      <c r="L478" s="47" t="str">
        <f t="shared" si="7"/>
        <v/>
      </c>
      <c r="M478" s="41"/>
      <c r="N478" s="38"/>
      <c r="O478" s="38"/>
      <c r="P478" s="38"/>
    </row>
    <row r="479" ht="15.75" customHeight="1">
      <c r="A479" s="52"/>
      <c r="B479" s="28" t="str">
        <f>IF($A479="","",IFERROR(VLOOKUP($A479,'Resumo por docente'!$A$8:$B$57,2,FALSE),""))</f>
        <v/>
      </c>
      <c r="C479" s="31"/>
      <c r="D479" s="52"/>
      <c r="E479" s="52"/>
      <c r="F479" s="38"/>
      <c r="G479" s="38"/>
      <c r="H479" s="41"/>
      <c r="I479" s="41"/>
      <c r="J479" s="41"/>
      <c r="K479" s="47" t="str">
        <f t="shared" si="5"/>
        <v/>
      </c>
      <c r="L479" s="47" t="str">
        <f t="shared" si="7"/>
        <v/>
      </c>
      <c r="M479" s="41"/>
      <c r="N479" s="38"/>
      <c r="O479" s="38"/>
      <c r="P479" s="38"/>
    </row>
    <row r="480" ht="15.75" customHeight="1">
      <c r="A480" s="52"/>
      <c r="B480" s="28" t="str">
        <f>IF($A480="","",IFERROR(VLOOKUP($A480,'Resumo por docente'!$A$8:$B$57,2,FALSE),""))</f>
        <v/>
      </c>
      <c r="C480" s="31"/>
      <c r="D480" s="52"/>
      <c r="E480" s="52"/>
      <c r="F480" s="38"/>
      <c r="G480" s="38"/>
      <c r="H480" s="41"/>
      <c r="I480" s="41"/>
      <c r="J480" s="41"/>
      <c r="K480" s="47" t="str">
        <f t="shared" si="5"/>
        <v/>
      </c>
      <c r="L480" s="47" t="str">
        <f t="shared" si="7"/>
        <v/>
      </c>
      <c r="M480" s="41"/>
      <c r="N480" s="38"/>
      <c r="O480" s="38"/>
      <c r="P480" s="38"/>
    </row>
    <row r="481" ht="15.75" customHeight="1">
      <c r="A481" s="52"/>
      <c r="B481" s="28" t="str">
        <f>IF($A481="","",IFERROR(VLOOKUP($A481,'Resumo por docente'!$A$8:$B$57,2,FALSE),""))</f>
        <v/>
      </c>
      <c r="C481" s="31"/>
      <c r="D481" s="52"/>
      <c r="E481" s="52"/>
      <c r="F481" s="38"/>
      <c r="G481" s="38"/>
      <c r="H481" s="41"/>
      <c r="I481" s="41"/>
      <c r="J481" s="41"/>
      <c r="K481" s="47" t="str">
        <f t="shared" si="5"/>
        <v/>
      </c>
      <c r="L481" s="47" t="str">
        <f t="shared" si="7"/>
        <v/>
      </c>
      <c r="M481" s="41"/>
      <c r="N481" s="38"/>
      <c r="O481" s="38"/>
      <c r="P481" s="38"/>
    </row>
    <row r="482" ht="15.75" customHeight="1">
      <c r="A482" s="52"/>
      <c r="B482" s="28" t="str">
        <f>IF($A482="","",IFERROR(VLOOKUP($A482,'Resumo por docente'!$A$8:$B$57,2,FALSE),""))</f>
        <v/>
      </c>
      <c r="C482" s="31"/>
      <c r="D482" s="52"/>
      <c r="E482" s="52"/>
      <c r="F482" s="38"/>
      <c r="G482" s="38"/>
      <c r="H482" s="41"/>
      <c r="I482" s="41"/>
      <c r="J482" s="41"/>
      <c r="K482" s="47" t="str">
        <f t="shared" si="5"/>
        <v/>
      </c>
      <c r="L482" s="47" t="str">
        <f t="shared" si="7"/>
        <v/>
      </c>
      <c r="M482" s="41"/>
      <c r="N482" s="38"/>
      <c r="O482" s="38"/>
      <c r="P482" s="38"/>
    </row>
    <row r="483" ht="15.75" customHeight="1">
      <c r="A483" s="52"/>
      <c r="B483" s="28" t="str">
        <f>IF($A483="","",IFERROR(VLOOKUP($A483,'Resumo por docente'!$A$8:$B$57,2,FALSE),""))</f>
        <v/>
      </c>
      <c r="C483" s="31"/>
      <c r="D483" s="52"/>
      <c r="E483" s="52"/>
      <c r="F483" s="38"/>
      <c r="G483" s="38"/>
      <c r="H483" s="41"/>
      <c r="I483" s="41"/>
      <c r="J483" s="41"/>
      <c r="K483" s="47" t="str">
        <f t="shared" si="5"/>
        <v/>
      </c>
      <c r="L483" s="47" t="str">
        <f t="shared" si="7"/>
        <v/>
      </c>
      <c r="M483" s="41"/>
      <c r="N483" s="38"/>
      <c r="O483" s="38"/>
      <c r="P483" s="38"/>
    </row>
    <row r="484" ht="15.75" customHeight="1">
      <c r="A484" s="52"/>
      <c r="B484" s="28" t="str">
        <f>IF($A484="","",IFERROR(VLOOKUP($A484,'Resumo por docente'!$A$8:$B$57,2,FALSE),""))</f>
        <v/>
      </c>
      <c r="C484" s="31"/>
      <c r="D484" s="52"/>
      <c r="E484" s="52"/>
      <c r="F484" s="38"/>
      <c r="G484" s="38"/>
      <c r="H484" s="41"/>
      <c r="I484" s="41"/>
      <c r="J484" s="41"/>
      <c r="K484" s="47" t="str">
        <f t="shared" si="5"/>
        <v/>
      </c>
      <c r="L484" s="47" t="str">
        <f t="shared" si="7"/>
        <v/>
      </c>
      <c r="M484" s="41"/>
      <c r="N484" s="38"/>
      <c r="O484" s="38"/>
      <c r="P484" s="38"/>
    </row>
    <row r="485" ht="15.75" customHeight="1">
      <c r="A485" s="52"/>
      <c r="B485" s="28" t="str">
        <f>IF($A485="","",IFERROR(VLOOKUP($A485,'Resumo por docente'!$A$8:$B$57,2,FALSE),""))</f>
        <v/>
      </c>
      <c r="C485" s="31"/>
      <c r="D485" s="52"/>
      <c r="E485" s="52"/>
      <c r="F485" s="38"/>
      <c r="G485" s="38"/>
      <c r="H485" s="41"/>
      <c r="I485" s="41"/>
      <c r="J485" s="41"/>
      <c r="K485" s="47" t="str">
        <f t="shared" si="5"/>
        <v/>
      </c>
      <c r="L485" s="47" t="str">
        <f t="shared" si="7"/>
        <v/>
      </c>
      <c r="M485" s="41"/>
      <c r="N485" s="38"/>
      <c r="O485" s="38"/>
      <c r="P485" s="38"/>
    </row>
    <row r="486" ht="15.75" customHeight="1">
      <c r="A486" s="52"/>
      <c r="B486" s="28" t="str">
        <f>IF($A486="","",IFERROR(VLOOKUP($A486,'Resumo por docente'!$A$8:$B$57,2,FALSE),""))</f>
        <v/>
      </c>
      <c r="C486" s="31"/>
      <c r="D486" s="52"/>
      <c r="E486" s="52"/>
      <c r="F486" s="38"/>
      <c r="G486" s="38"/>
      <c r="H486" s="41"/>
      <c r="I486" s="41"/>
      <c r="J486" s="41"/>
      <c r="K486" s="47" t="str">
        <f t="shared" si="5"/>
        <v/>
      </c>
      <c r="L486" s="47" t="str">
        <f t="shared" si="7"/>
        <v/>
      </c>
      <c r="M486" s="41"/>
      <c r="N486" s="38"/>
      <c r="O486" s="38"/>
      <c r="P486" s="38"/>
    </row>
    <row r="487" ht="15.75" customHeight="1">
      <c r="A487" s="52"/>
      <c r="B487" s="28" t="str">
        <f>IF($A487="","",IFERROR(VLOOKUP($A487,'Resumo por docente'!$A$8:$B$57,2,FALSE),""))</f>
        <v/>
      </c>
      <c r="C487" s="31"/>
      <c r="D487" s="52"/>
      <c r="E487" s="52"/>
      <c r="F487" s="38"/>
      <c r="G487" s="38"/>
      <c r="H487" s="41"/>
      <c r="I487" s="41"/>
      <c r="J487" s="41"/>
      <c r="K487" s="47" t="str">
        <f t="shared" si="5"/>
        <v/>
      </c>
      <c r="L487" s="47" t="str">
        <f t="shared" si="7"/>
        <v/>
      </c>
      <c r="M487" s="41"/>
      <c r="N487" s="38"/>
      <c r="O487" s="38"/>
      <c r="P487" s="38"/>
    </row>
    <row r="488" ht="15.75" customHeight="1">
      <c r="A488" s="52"/>
      <c r="B488" s="28" t="str">
        <f>IF($A488="","",IFERROR(VLOOKUP($A488,'Resumo por docente'!$A$8:$B$57,2,FALSE),""))</f>
        <v/>
      </c>
      <c r="C488" s="31"/>
      <c r="D488" s="52"/>
      <c r="E488" s="52"/>
      <c r="F488" s="38"/>
      <c r="G488" s="38"/>
      <c r="H488" s="41"/>
      <c r="I488" s="41"/>
      <c r="J488" s="41"/>
      <c r="K488" s="47" t="str">
        <f t="shared" si="5"/>
        <v/>
      </c>
      <c r="L488" s="47" t="str">
        <f t="shared" si="7"/>
        <v/>
      </c>
      <c r="M488" s="41"/>
      <c r="N488" s="38"/>
      <c r="O488" s="38"/>
      <c r="P488" s="38"/>
    </row>
    <row r="489" ht="15.75" customHeight="1">
      <c r="A489" s="52"/>
      <c r="B489" s="28" t="str">
        <f>IF($A489="","",IFERROR(VLOOKUP($A489,'Resumo por docente'!$A$8:$B$57,2,FALSE),""))</f>
        <v/>
      </c>
      <c r="C489" s="31"/>
      <c r="D489" s="52"/>
      <c r="E489" s="52"/>
      <c r="F489" s="38"/>
      <c r="G489" s="38"/>
      <c r="H489" s="41"/>
      <c r="I489" s="41"/>
      <c r="J489" s="41"/>
      <c r="K489" s="47" t="str">
        <f t="shared" si="5"/>
        <v/>
      </c>
      <c r="L489" s="47" t="str">
        <f t="shared" si="7"/>
        <v/>
      </c>
      <c r="M489" s="41"/>
      <c r="N489" s="38"/>
      <c r="O489" s="38"/>
      <c r="P489" s="38"/>
    </row>
    <row r="490" ht="15.75" customHeight="1">
      <c r="A490" s="52"/>
      <c r="B490" s="28" t="str">
        <f>IF($A490="","",IFERROR(VLOOKUP($A490,'Resumo por docente'!$A$8:$B$57,2,FALSE),""))</f>
        <v/>
      </c>
      <c r="C490" s="31"/>
      <c r="D490" s="52"/>
      <c r="E490" s="52"/>
      <c r="F490" s="38"/>
      <c r="G490" s="38"/>
      <c r="H490" s="41"/>
      <c r="I490" s="41"/>
      <c r="J490" s="41"/>
      <c r="K490" s="47" t="str">
        <f t="shared" si="5"/>
        <v/>
      </c>
      <c r="L490" s="47" t="str">
        <f t="shared" si="7"/>
        <v/>
      </c>
      <c r="M490" s="41"/>
      <c r="N490" s="38"/>
      <c r="O490" s="38"/>
      <c r="P490" s="38"/>
    </row>
    <row r="491" ht="15.75" customHeight="1">
      <c r="A491" s="52"/>
      <c r="B491" s="28" t="str">
        <f>IF($A491="","",IFERROR(VLOOKUP($A491,'Resumo por docente'!$A$8:$B$57,2,FALSE),""))</f>
        <v/>
      </c>
      <c r="C491" s="31"/>
      <c r="D491" s="52"/>
      <c r="E491" s="52"/>
      <c r="F491" s="38"/>
      <c r="G491" s="38"/>
      <c r="H491" s="41"/>
      <c r="I491" s="41"/>
      <c r="J491" s="41"/>
      <c r="K491" s="47" t="str">
        <f t="shared" si="5"/>
        <v/>
      </c>
      <c r="L491" s="47" t="str">
        <f t="shared" si="7"/>
        <v/>
      </c>
      <c r="M491" s="41"/>
      <c r="N491" s="38"/>
      <c r="O491" s="38"/>
      <c r="P491" s="38"/>
    </row>
    <row r="492" ht="15.75" customHeight="1">
      <c r="A492" s="52"/>
      <c r="B492" s="28" t="str">
        <f>IF($A492="","",IFERROR(VLOOKUP($A492,'Resumo por docente'!$A$8:$B$57,2,FALSE),""))</f>
        <v/>
      </c>
      <c r="C492" s="31"/>
      <c r="D492" s="52"/>
      <c r="E492" s="52"/>
      <c r="F492" s="38"/>
      <c r="G492" s="38"/>
      <c r="H492" s="41"/>
      <c r="I492" s="41"/>
      <c r="J492" s="41"/>
      <c r="K492" s="47" t="str">
        <f t="shared" si="5"/>
        <v/>
      </c>
      <c r="L492" s="47" t="str">
        <f t="shared" si="7"/>
        <v/>
      </c>
      <c r="M492" s="41"/>
      <c r="N492" s="38"/>
      <c r="O492" s="38"/>
      <c r="P492" s="38"/>
    </row>
    <row r="493" ht="15.75" customHeight="1">
      <c r="A493" s="52"/>
      <c r="B493" s="28" t="str">
        <f>IF($A493="","",IFERROR(VLOOKUP($A493,'Resumo por docente'!$A$8:$B$57,2,FALSE),""))</f>
        <v/>
      </c>
      <c r="C493" s="31"/>
      <c r="D493" s="52"/>
      <c r="E493" s="52"/>
      <c r="F493" s="38"/>
      <c r="G493" s="38"/>
      <c r="H493" s="41"/>
      <c r="I493" s="41"/>
      <c r="J493" s="41"/>
      <c r="K493" s="47" t="str">
        <f t="shared" si="5"/>
        <v/>
      </c>
      <c r="L493" s="47" t="str">
        <f t="shared" si="7"/>
        <v/>
      </c>
      <c r="M493" s="41"/>
      <c r="N493" s="38"/>
      <c r="O493" s="38"/>
      <c r="P493" s="38"/>
    </row>
    <row r="494" ht="15.75" customHeight="1">
      <c r="A494" s="52"/>
      <c r="B494" s="28" t="str">
        <f>IF($A494="","",IFERROR(VLOOKUP($A494,'Resumo por docente'!$A$8:$B$57,2,FALSE),""))</f>
        <v/>
      </c>
      <c r="C494" s="31"/>
      <c r="D494" s="52"/>
      <c r="E494" s="52"/>
      <c r="F494" s="38"/>
      <c r="G494" s="38"/>
      <c r="H494" s="41"/>
      <c r="I494" s="41"/>
      <c r="J494" s="41"/>
      <c r="K494" s="47" t="str">
        <f t="shared" si="5"/>
        <v/>
      </c>
      <c r="L494" s="47" t="str">
        <f t="shared" si="7"/>
        <v/>
      </c>
      <c r="M494" s="41"/>
      <c r="N494" s="38"/>
      <c r="O494" s="38"/>
      <c r="P494" s="38"/>
    </row>
    <row r="495" ht="15.75" customHeight="1">
      <c r="A495" s="52"/>
      <c r="B495" s="28" t="str">
        <f>IF($A495="","",IFERROR(VLOOKUP($A495,'Resumo por docente'!$A$8:$B$57,2,FALSE),""))</f>
        <v/>
      </c>
      <c r="C495" s="31"/>
      <c r="D495" s="52"/>
      <c r="E495" s="52"/>
      <c r="F495" s="38"/>
      <c r="G495" s="38"/>
      <c r="H495" s="41"/>
      <c r="I495" s="41"/>
      <c r="J495" s="41"/>
      <c r="K495" s="47" t="str">
        <f t="shared" si="5"/>
        <v/>
      </c>
      <c r="L495" s="47" t="str">
        <f t="shared" si="7"/>
        <v/>
      </c>
      <c r="M495" s="41"/>
      <c r="N495" s="38"/>
      <c r="O495" s="38"/>
      <c r="P495" s="38"/>
    </row>
    <row r="496" ht="15.75" customHeight="1">
      <c r="A496" s="52"/>
      <c r="B496" s="28" t="str">
        <f>IF($A496="","",IFERROR(VLOOKUP($A496,'Resumo por docente'!$A$8:$B$57,2,FALSE),""))</f>
        <v/>
      </c>
      <c r="C496" s="31"/>
      <c r="D496" s="52"/>
      <c r="E496" s="52"/>
      <c r="F496" s="38"/>
      <c r="G496" s="38"/>
      <c r="H496" s="41"/>
      <c r="I496" s="41"/>
      <c r="J496" s="41"/>
      <c r="K496" s="47" t="str">
        <f t="shared" si="5"/>
        <v/>
      </c>
      <c r="L496" s="47" t="str">
        <f t="shared" si="7"/>
        <v/>
      </c>
      <c r="M496" s="41"/>
      <c r="N496" s="38"/>
      <c r="O496" s="38"/>
      <c r="P496" s="38"/>
    </row>
    <row r="497" ht="15.75" customHeight="1">
      <c r="A497" s="52"/>
      <c r="B497" s="28" t="str">
        <f>IF($A497="","",IFERROR(VLOOKUP($A497,'Resumo por docente'!$A$8:$B$57,2,FALSE),""))</f>
        <v/>
      </c>
      <c r="C497" s="31"/>
      <c r="D497" s="52"/>
      <c r="E497" s="52"/>
      <c r="F497" s="38"/>
      <c r="G497" s="38"/>
      <c r="H497" s="41"/>
      <c r="I497" s="41"/>
      <c r="J497" s="41"/>
      <c r="K497" s="47" t="str">
        <f t="shared" si="5"/>
        <v/>
      </c>
      <c r="L497" s="47" t="str">
        <f t="shared" si="7"/>
        <v/>
      </c>
      <c r="M497" s="41"/>
      <c r="N497" s="38"/>
      <c r="O497" s="38"/>
      <c r="P497" s="38"/>
    </row>
    <row r="498" ht="15.75" customHeight="1">
      <c r="A498" s="52"/>
      <c r="B498" s="28" t="str">
        <f>IF($A498="","",IFERROR(VLOOKUP($A498,'Resumo por docente'!$A$8:$B$57,2,FALSE),""))</f>
        <v/>
      </c>
      <c r="C498" s="31"/>
      <c r="D498" s="52"/>
      <c r="E498" s="52"/>
      <c r="F498" s="38"/>
      <c r="G498" s="38"/>
      <c r="H498" s="41"/>
      <c r="I498" s="41"/>
      <c r="J498" s="41"/>
      <c r="K498" s="47" t="str">
        <f t="shared" si="5"/>
        <v/>
      </c>
      <c r="L498" s="47" t="str">
        <f t="shared" si="7"/>
        <v/>
      </c>
      <c r="M498" s="41"/>
      <c r="N498" s="38"/>
      <c r="O498" s="38"/>
      <c r="P498" s="38"/>
    </row>
    <row r="499" ht="15.75" customHeight="1">
      <c r="A499" s="52"/>
      <c r="B499" s="28" t="str">
        <f>IF($A499="","",IFERROR(VLOOKUP($A499,'Resumo por docente'!$A$8:$B$57,2,FALSE),""))</f>
        <v/>
      </c>
      <c r="C499" s="31"/>
      <c r="D499" s="52"/>
      <c r="E499" s="52"/>
      <c r="F499" s="38"/>
      <c r="G499" s="38"/>
      <c r="H499" s="41"/>
      <c r="I499" s="41"/>
      <c r="J499" s="41"/>
      <c r="K499" s="47" t="str">
        <f t="shared" si="5"/>
        <v/>
      </c>
      <c r="L499" s="47" t="str">
        <f t="shared" si="7"/>
        <v/>
      </c>
      <c r="M499" s="41"/>
      <c r="N499" s="38"/>
      <c r="O499" s="38"/>
      <c r="P499" s="38"/>
    </row>
    <row r="500" ht="15.75" customHeight="1">
      <c r="A500" s="52"/>
      <c r="B500" s="28" t="str">
        <f>IF($A500="","",IFERROR(VLOOKUP($A500,'Resumo por docente'!$A$8:$B$57,2,FALSE),""))</f>
        <v/>
      </c>
      <c r="C500" s="31"/>
      <c r="D500" s="52"/>
      <c r="E500" s="52"/>
      <c r="F500" s="38"/>
      <c r="G500" s="38"/>
      <c r="H500" s="41"/>
      <c r="I500" s="41"/>
      <c r="J500" s="41"/>
      <c r="K500" s="47" t="str">
        <f t="shared" si="5"/>
        <v/>
      </c>
      <c r="L500" s="47" t="str">
        <f t="shared" si="7"/>
        <v/>
      </c>
      <c r="M500" s="41"/>
      <c r="N500" s="38"/>
      <c r="O500" s="38"/>
      <c r="P500" s="38"/>
    </row>
    <row r="501" ht="15.75" customHeight="1">
      <c r="A501" s="52"/>
      <c r="B501" s="28" t="str">
        <f>IF($A501="","",IFERROR(VLOOKUP($A501,'Resumo por docente'!$A$8:$B$57,2,FALSE),""))</f>
        <v/>
      </c>
      <c r="C501" s="31"/>
      <c r="D501" s="52"/>
      <c r="E501" s="52"/>
      <c r="F501" s="38"/>
      <c r="G501" s="38"/>
      <c r="H501" s="41"/>
      <c r="I501" s="41"/>
      <c r="J501" s="41"/>
      <c r="K501" s="47" t="str">
        <f t="shared" si="5"/>
        <v/>
      </c>
      <c r="L501" s="47" t="str">
        <f t="shared" si="7"/>
        <v/>
      </c>
      <c r="M501" s="41"/>
      <c r="N501" s="38"/>
      <c r="O501" s="38"/>
      <c r="P501" s="38"/>
    </row>
    <row r="502" ht="15.75" customHeight="1">
      <c r="A502" s="52"/>
      <c r="B502" s="28" t="str">
        <f>IF($A502="","",IFERROR(VLOOKUP($A502,'Resumo por docente'!$A$8:$B$57,2,FALSE),""))</f>
        <v/>
      </c>
      <c r="C502" s="31"/>
      <c r="D502" s="52"/>
      <c r="E502" s="52"/>
      <c r="F502" s="38"/>
      <c r="G502" s="38"/>
      <c r="H502" s="41"/>
      <c r="I502" s="41"/>
      <c r="J502" s="41"/>
      <c r="K502" s="47" t="str">
        <f t="shared" si="5"/>
        <v/>
      </c>
      <c r="L502" s="47" t="str">
        <f t="shared" si="7"/>
        <v/>
      </c>
      <c r="M502" s="41"/>
      <c r="N502" s="38"/>
      <c r="O502" s="38"/>
      <c r="P502" s="38"/>
    </row>
    <row r="503" ht="15.75" customHeight="1">
      <c r="A503" s="52"/>
      <c r="B503" s="28" t="str">
        <f>IF($A503="","",IFERROR(VLOOKUP($A503,'Resumo por docente'!$A$8:$B$57,2,FALSE),""))</f>
        <v/>
      </c>
      <c r="C503" s="31"/>
      <c r="D503" s="52"/>
      <c r="E503" s="52"/>
      <c r="F503" s="38"/>
      <c r="G503" s="38"/>
      <c r="H503" s="41"/>
      <c r="I503" s="41"/>
      <c r="J503" s="41"/>
      <c r="K503" s="47" t="str">
        <f t="shared" si="5"/>
        <v/>
      </c>
      <c r="L503" s="47" t="str">
        <f t="shared" si="7"/>
        <v/>
      </c>
      <c r="M503" s="41"/>
      <c r="N503" s="38"/>
      <c r="O503" s="38"/>
      <c r="P503" s="38"/>
    </row>
    <row r="504" ht="15.75" customHeight="1">
      <c r="A504" s="52"/>
      <c r="B504" s="28" t="str">
        <f>IF($A504="","",IFERROR(VLOOKUP($A504,'Resumo por docente'!$A$8:$B$57,2,FALSE),""))</f>
        <v/>
      </c>
      <c r="C504" s="31"/>
      <c r="D504" s="52"/>
      <c r="E504" s="52"/>
      <c r="F504" s="38"/>
      <c r="G504" s="38"/>
      <c r="H504" s="41"/>
      <c r="I504" s="41"/>
      <c r="J504" s="41"/>
      <c r="K504" s="47" t="str">
        <f t="shared" si="5"/>
        <v/>
      </c>
      <c r="L504" s="47" t="str">
        <f t="shared" si="7"/>
        <v/>
      </c>
      <c r="M504" s="41"/>
      <c r="N504" s="38"/>
      <c r="O504" s="38"/>
      <c r="P504" s="38"/>
    </row>
    <row r="505" ht="15.75" customHeight="1">
      <c r="A505" s="52"/>
      <c r="B505" s="28" t="str">
        <f>IF($A505="","",IFERROR(VLOOKUP($A505,'Resumo por docente'!$A$8:$B$57,2,FALSE),""))</f>
        <v/>
      </c>
      <c r="C505" s="31"/>
      <c r="D505" s="52"/>
      <c r="E505" s="52"/>
      <c r="F505" s="38"/>
      <c r="G505" s="38"/>
      <c r="H505" s="41"/>
      <c r="I505" s="41"/>
      <c r="J505" s="41"/>
      <c r="K505" s="47" t="str">
        <f t="shared" si="5"/>
        <v/>
      </c>
      <c r="L505" s="47" t="str">
        <f t="shared" si="7"/>
        <v/>
      </c>
      <c r="M505" s="41"/>
      <c r="N505" s="38"/>
      <c r="O505" s="38"/>
      <c r="P505" s="38"/>
    </row>
    <row r="506" ht="15.75" customHeight="1">
      <c r="A506" s="52"/>
      <c r="B506" s="28" t="str">
        <f>IF($A506="","",IFERROR(VLOOKUP($A506,'Resumo por docente'!$A$8:$B$57,2,FALSE),""))</f>
        <v/>
      </c>
      <c r="C506" s="31"/>
      <c r="D506" s="52"/>
      <c r="E506" s="52"/>
      <c r="F506" s="38"/>
      <c r="G506" s="38"/>
      <c r="H506" s="41"/>
      <c r="I506" s="41"/>
      <c r="J506" s="41"/>
      <c r="K506" s="47" t="str">
        <f t="shared" si="5"/>
        <v/>
      </c>
      <c r="L506" s="47" t="str">
        <f t="shared" si="7"/>
        <v/>
      </c>
      <c r="M506" s="41"/>
      <c r="N506" s="38"/>
      <c r="O506" s="38"/>
      <c r="P506" s="38"/>
    </row>
    <row r="507" ht="15.75" customHeight="1">
      <c r="A507" s="60"/>
      <c r="B507" s="60"/>
      <c r="C507" s="67"/>
      <c r="D507" s="60"/>
      <c r="E507" s="60"/>
    </row>
    <row r="508" ht="15.75" customHeight="1">
      <c r="A508" s="60"/>
      <c r="B508" s="60"/>
      <c r="C508" s="67"/>
      <c r="D508" s="60"/>
      <c r="E508" s="60"/>
    </row>
    <row r="509" ht="15.75" customHeight="1">
      <c r="A509" s="60"/>
      <c r="B509" s="60"/>
      <c r="C509" s="67"/>
      <c r="D509" s="60"/>
      <c r="E509" s="60"/>
    </row>
    <row r="510" ht="15.75" customHeight="1">
      <c r="A510" s="60"/>
      <c r="B510" s="60"/>
      <c r="C510" s="67"/>
      <c r="D510" s="60"/>
      <c r="E510" s="60"/>
    </row>
    <row r="511" ht="15.75" customHeight="1">
      <c r="A511" s="60"/>
      <c r="B511" s="60"/>
      <c r="C511" s="67"/>
      <c r="D511" s="60"/>
      <c r="E511" s="60"/>
    </row>
    <row r="512" ht="15.75" customHeight="1">
      <c r="A512" s="60"/>
      <c r="B512" s="60"/>
      <c r="C512" s="67"/>
      <c r="D512" s="60"/>
      <c r="E512" s="60"/>
    </row>
    <row r="513" ht="15.75" customHeight="1">
      <c r="A513" s="60"/>
      <c r="B513" s="60"/>
      <c r="C513" s="67"/>
      <c r="D513" s="60"/>
      <c r="E513" s="60"/>
    </row>
    <row r="514" ht="15.75" customHeight="1">
      <c r="A514" s="60"/>
      <c r="B514" s="60"/>
      <c r="C514" s="67"/>
      <c r="D514" s="60"/>
      <c r="E514" s="60"/>
    </row>
    <row r="515" ht="15.75" customHeight="1">
      <c r="A515" s="60"/>
      <c r="B515" s="60"/>
      <c r="C515" s="67"/>
      <c r="D515" s="60"/>
      <c r="E515" s="60"/>
    </row>
    <row r="516" ht="15.75" customHeight="1">
      <c r="A516" s="60"/>
      <c r="B516" s="60"/>
      <c r="C516" s="67"/>
      <c r="D516" s="60"/>
      <c r="E516" s="60"/>
    </row>
    <row r="517" ht="15.75" customHeight="1">
      <c r="A517" s="60"/>
      <c r="B517" s="60"/>
      <c r="C517" s="67"/>
      <c r="D517" s="60"/>
      <c r="E517" s="60"/>
    </row>
    <row r="518" ht="15.75" customHeight="1">
      <c r="A518" s="60"/>
      <c r="B518" s="60"/>
      <c r="C518" s="67"/>
      <c r="D518" s="60"/>
      <c r="E518" s="60"/>
    </row>
    <row r="519" ht="15.75" customHeight="1">
      <c r="A519" s="60"/>
      <c r="B519" s="60"/>
      <c r="C519" s="67"/>
      <c r="D519" s="60"/>
      <c r="E519" s="60"/>
    </row>
    <row r="520" ht="15.75" customHeight="1">
      <c r="A520" s="60"/>
      <c r="B520" s="60"/>
      <c r="C520" s="67"/>
      <c r="D520" s="60"/>
      <c r="E520" s="60"/>
    </row>
    <row r="521" ht="15.75" customHeight="1">
      <c r="A521" s="60"/>
      <c r="B521" s="60"/>
      <c r="C521" s="67"/>
      <c r="D521" s="60"/>
      <c r="E521" s="60"/>
    </row>
    <row r="522" ht="15.75" customHeight="1">
      <c r="A522" s="60"/>
      <c r="B522" s="60"/>
      <c r="C522" s="67"/>
      <c r="D522" s="60"/>
      <c r="E522" s="60"/>
    </row>
    <row r="523" ht="15.75" customHeight="1">
      <c r="A523" s="60"/>
      <c r="B523" s="60"/>
      <c r="C523" s="67"/>
      <c r="D523" s="60"/>
      <c r="E523" s="60"/>
    </row>
    <row r="524" ht="15.75" customHeight="1">
      <c r="A524" s="60"/>
      <c r="B524" s="60"/>
      <c r="C524" s="67"/>
      <c r="D524" s="60"/>
      <c r="E524" s="60"/>
    </row>
    <row r="525" ht="15.75" customHeight="1">
      <c r="A525" s="60"/>
      <c r="B525" s="60"/>
      <c r="C525" s="67"/>
      <c r="D525" s="60"/>
      <c r="E525" s="60"/>
    </row>
    <row r="526" ht="15.75" customHeight="1">
      <c r="A526" s="60"/>
      <c r="B526" s="60"/>
      <c r="C526" s="67"/>
      <c r="D526" s="60"/>
      <c r="E526" s="60"/>
    </row>
    <row r="527" ht="15.75" customHeight="1">
      <c r="A527" s="60"/>
      <c r="B527" s="60"/>
      <c r="C527" s="67"/>
      <c r="D527" s="60"/>
      <c r="E527" s="60"/>
    </row>
    <row r="528" ht="15.75" customHeight="1">
      <c r="A528" s="60"/>
      <c r="B528" s="60"/>
      <c r="C528" s="67"/>
      <c r="D528" s="60"/>
      <c r="E528" s="60"/>
    </row>
    <row r="529" ht="15.75" customHeight="1">
      <c r="A529" s="60"/>
      <c r="B529" s="60"/>
      <c r="C529" s="67"/>
      <c r="D529" s="60"/>
      <c r="E529" s="60"/>
    </row>
    <row r="530" ht="15.75" customHeight="1">
      <c r="A530" s="60"/>
      <c r="B530" s="60"/>
      <c r="C530" s="67"/>
      <c r="D530" s="60"/>
      <c r="E530" s="60"/>
    </row>
    <row r="531" ht="15.75" customHeight="1">
      <c r="A531" s="60"/>
      <c r="B531" s="60"/>
      <c r="C531" s="67"/>
      <c r="D531" s="60"/>
      <c r="E531" s="60"/>
    </row>
    <row r="532" ht="15.75" customHeight="1">
      <c r="A532" s="60"/>
      <c r="B532" s="60"/>
      <c r="C532" s="67"/>
      <c r="D532" s="60"/>
      <c r="E532" s="60"/>
    </row>
    <row r="533" ht="15.75" customHeight="1">
      <c r="A533" s="60"/>
      <c r="B533" s="60"/>
      <c r="C533" s="67"/>
      <c r="D533" s="60"/>
      <c r="E533" s="60"/>
    </row>
    <row r="534" ht="15.75" customHeight="1">
      <c r="A534" s="60"/>
      <c r="B534" s="60"/>
      <c r="C534" s="67"/>
      <c r="D534" s="60"/>
      <c r="E534" s="60"/>
    </row>
    <row r="535" ht="15.75" customHeight="1">
      <c r="A535" s="60"/>
      <c r="B535" s="60"/>
      <c r="C535" s="67"/>
      <c r="D535" s="60"/>
      <c r="E535" s="60"/>
    </row>
    <row r="536" ht="15.75" customHeight="1">
      <c r="A536" s="60"/>
      <c r="B536" s="60"/>
      <c r="C536" s="67"/>
      <c r="D536" s="60"/>
      <c r="E536" s="60"/>
    </row>
    <row r="537" ht="15.75" customHeight="1">
      <c r="A537" s="60"/>
      <c r="B537" s="60"/>
      <c r="C537" s="67"/>
      <c r="D537" s="60"/>
      <c r="E537" s="60"/>
    </row>
    <row r="538" ht="15.75" customHeight="1">
      <c r="A538" s="60"/>
      <c r="B538" s="60"/>
      <c r="C538" s="67"/>
      <c r="D538" s="60"/>
      <c r="E538" s="60"/>
    </row>
    <row r="539" ht="15.75" customHeight="1">
      <c r="A539" s="60"/>
      <c r="B539" s="60"/>
      <c r="C539" s="67"/>
      <c r="D539" s="60"/>
      <c r="E539" s="60"/>
    </row>
    <row r="540" ht="15.75" customHeight="1">
      <c r="A540" s="60"/>
      <c r="B540" s="60"/>
      <c r="C540" s="67"/>
      <c r="D540" s="60"/>
      <c r="E540" s="60"/>
    </row>
    <row r="541" ht="15.75" customHeight="1">
      <c r="A541" s="60"/>
      <c r="B541" s="60"/>
      <c r="C541" s="67"/>
      <c r="D541" s="60"/>
      <c r="E541" s="60"/>
    </row>
    <row r="542" ht="15.75" customHeight="1">
      <c r="A542" s="60"/>
      <c r="B542" s="60"/>
      <c r="C542" s="67"/>
      <c r="D542" s="60"/>
      <c r="E542" s="60"/>
    </row>
    <row r="543" ht="15.75" customHeight="1">
      <c r="A543" s="60"/>
      <c r="B543" s="60"/>
      <c r="C543" s="67"/>
      <c r="D543" s="60"/>
      <c r="E543" s="60"/>
    </row>
    <row r="544" ht="15.75" customHeight="1">
      <c r="A544" s="60"/>
      <c r="B544" s="60"/>
      <c r="C544" s="67"/>
      <c r="D544" s="60"/>
      <c r="E544" s="60"/>
    </row>
    <row r="545" ht="15.75" customHeight="1">
      <c r="A545" s="60"/>
      <c r="B545" s="60"/>
      <c r="C545" s="67"/>
      <c r="D545" s="60"/>
      <c r="E545" s="60"/>
    </row>
    <row r="546" ht="15.75" customHeight="1">
      <c r="A546" s="60"/>
      <c r="B546" s="60"/>
      <c r="C546" s="67"/>
      <c r="D546" s="60"/>
      <c r="E546" s="60"/>
    </row>
    <row r="547" ht="15.75" customHeight="1">
      <c r="A547" s="60"/>
      <c r="B547" s="60"/>
      <c r="C547" s="67"/>
      <c r="D547" s="60"/>
      <c r="E547" s="60"/>
    </row>
    <row r="548" ht="15.75" customHeight="1">
      <c r="A548" s="60"/>
      <c r="B548" s="60"/>
      <c r="C548" s="67"/>
      <c r="D548" s="60"/>
      <c r="E548" s="60"/>
    </row>
    <row r="549" ht="15.75" customHeight="1">
      <c r="A549" s="60"/>
      <c r="B549" s="60"/>
      <c r="C549" s="67"/>
      <c r="D549" s="60"/>
      <c r="E549" s="60"/>
    </row>
    <row r="550" ht="15.75" customHeight="1">
      <c r="A550" s="60"/>
      <c r="B550" s="60"/>
      <c r="C550" s="67"/>
      <c r="D550" s="60"/>
      <c r="E550" s="60"/>
    </row>
    <row r="551" ht="15.75" customHeight="1">
      <c r="A551" s="60"/>
      <c r="B551" s="60"/>
      <c r="C551" s="67"/>
      <c r="D551" s="60"/>
      <c r="E551" s="60"/>
    </row>
    <row r="552" ht="15.75" customHeight="1">
      <c r="A552" s="60"/>
      <c r="B552" s="60"/>
      <c r="C552" s="67"/>
      <c r="D552" s="60"/>
      <c r="E552" s="60"/>
    </row>
    <row r="553" ht="15.75" customHeight="1">
      <c r="A553" s="60"/>
      <c r="B553" s="60"/>
      <c r="C553" s="67"/>
      <c r="D553" s="60"/>
      <c r="E553" s="60"/>
    </row>
    <row r="554" ht="15.75" customHeight="1">
      <c r="A554" s="60"/>
      <c r="B554" s="60"/>
      <c r="C554" s="67"/>
      <c r="D554" s="60"/>
      <c r="E554" s="60"/>
    </row>
    <row r="555" ht="15.75" customHeight="1">
      <c r="A555" s="60"/>
      <c r="B555" s="60"/>
      <c r="C555" s="67"/>
      <c r="D555" s="60"/>
      <c r="E555" s="60"/>
    </row>
    <row r="556" ht="15.75" customHeight="1">
      <c r="A556" s="60"/>
      <c r="B556" s="60"/>
      <c r="C556" s="67"/>
      <c r="D556" s="60"/>
      <c r="E556" s="60"/>
    </row>
    <row r="557" ht="15.75" customHeight="1">
      <c r="A557" s="60"/>
      <c r="B557" s="60"/>
      <c r="C557" s="67"/>
      <c r="D557" s="60"/>
      <c r="E557" s="60"/>
    </row>
    <row r="558" ht="15.75" customHeight="1">
      <c r="A558" s="60"/>
      <c r="B558" s="60"/>
      <c r="C558" s="67"/>
      <c r="D558" s="60"/>
      <c r="E558" s="60"/>
    </row>
    <row r="559" ht="15.75" customHeight="1">
      <c r="A559" s="60"/>
      <c r="B559" s="60"/>
      <c r="C559" s="67"/>
      <c r="D559" s="60"/>
      <c r="E559" s="60"/>
    </row>
    <row r="560" ht="15.75" customHeight="1">
      <c r="A560" s="60"/>
      <c r="B560" s="60"/>
      <c r="C560" s="67"/>
      <c r="D560" s="60"/>
      <c r="E560" s="60"/>
    </row>
    <row r="561" ht="15.75" customHeight="1">
      <c r="A561" s="60"/>
      <c r="B561" s="60"/>
      <c r="C561" s="67"/>
      <c r="D561" s="60"/>
      <c r="E561" s="60"/>
    </row>
    <row r="562" ht="15.75" customHeight="1">
      <c r="A562" s="60"/>
      <c r="B562" s="60"/>
      <c r="C562" s="67"/>
      <c r="D562" s="60"/>
      <c r="E562" s="60"/>
    </row>
    <row r="563" ht="15.75" customHeight="1">
      <c r="A563" s="60"/>
      <c r="B563" s="60"/>
      <c r="C563" s="67"/>
      <c r="D563" s="60"/>
      <c r="E563" s="60"/>
    </row>
    <row r="564" ht="15.75" customHeight="1">
      <c r="A564" s="60"/>
      <c r="B564" s="60"/>
      <c r="C564" s="67"/>
      <c r="D564" s="60"/>
      <c r="E564" s="60"/>
    </row>
    <row r="565" ht="15.75" customHeight="1">
      <c r="A565" s="60"/>
      <c r="B565" s="60"/>
      <c r="C565" s="67"/>
      <c r="D565" s="60"/>
      <c r="E565" s="60"/>
    </row>
    <row r="566" ht="15.75" customHeight="1">
      <c r="A566" s="60"/>
      <c r="B566" s="60"/>
      <c r="C566" s="67"/>
      <c r="D566" s="60"/>
      <c r="E566" s="60"/>
    </row>
    <row r="567" ht="15.75" customHeight="1">
      <c r="A567" s="60"/>
      <c r="B567" s="60"/>
      <c r="C567" s="67"/>
      <c r="D567" s="60"/>
      <c r="E567" s="60"/>
    </row>
    <row r="568" ht="15.75" customHeight="1">
      <c r="A568" s="60"/>
      <c r="B568" s="60"/>
      <c r="C568" s="67"/>
      <c r="D568" s="60"/>
      <c r="E568" s="60"/>
    </row>
    <row r="569" ht="15.75" customHeight="1">
      <c r="A569" s="60"/>
      <c r="B569" s="60"/>
      <c r="C569" s="67"/>
      <c r="D569" s="60"/>
      <c r="E569" s="60"/>
    </row>
    <row r="570" ht="15.75" customHeight="1">
      <c r="A570" s="60"/>
      <c r="B570" s="60"/>
      <c r="C570" s="67"/>
      <c r="D570" s="60"/>
      <c r="E570" s="60"/>
    </row>
    <row r="571" ht="15.75" customHeight="1">
      <c r="A571" s="60"/>
      <c r="B571" s="60"/>
      <c r="C571" s="67"/>
      <c r="D571" s="60"/>
      <c r="E571" s="60"/>
    </row>
    <row r="572" ht="15.75" customHeight="1">
      <c r="A572" s="60"/>
      <c r="B572" s="60"/>
      <c r="C572" s="67"/>
      <c r="D572" s="60"/>
      <c r="E572" s="60"/>
    </row>
    <row r="573" ht="15.75" customHeight="1">
      <c r="A573" s="60"/>
      <c r="B573" s="60"/>
      <c r="C573" s="67"/>
      <c r="D573" s="60"/>
      <c r="E573" s="60"/>
    </row>
    <row r="574" ht="15.75" customHeight="1">
      <c r="A574" s="60"/>
      <c r="B574" s="60"/>
      <c r="C574" s="67"/>
      <c r="D574" s="60"/>
      <c r="E574" s="60"/>
    </row>
    <row r="575" ht="15.75" customHeight="1">
      <c r="A575" s="60"/>
      <c r="B575" s="60"/>
      <c r="C575" s="67"/>
      <c r="D575" s="60"/>
      <c r="E575" s="60"/>
    </row>
    <row r="576" ht="15.75" customHeight="1">
      <c r="A576" s="60"/>
      <c r="B576" s="60"/>
      <c r="C576" s="67"/>
      <c r="D576" s="60"/>
      <c r="E576" s="60"/>
    </row>
    <row r="577" ht="15.75" customHeight="1">
      <c r="A577" s="60"/>
      <c r="B577" s="60"/>
      <c r="C577" s="67"/>
      <c r="D577" s="60"/>
      <c r="E577" s="60"/>
    </row>
    <row r="578" ht="15.75" customHeight="1">
      <c r="A578" s="60"/>
      <c r="B578" s="60"/>
      <c r="C578" s="67"/>
      <c r="D578" s="60"/>
      <c r="E578" s="60"/>
    </row>
    <row r="579" ht="15.75" customHeight="1">
      <c r="A579" s="60"/>
      <c r="B579" s="60"/>
      <c r="C579" s="67"/>
      <c r="D579" s="60"/>
      <c r="E579" s="60"/>
    </row>
    <row r="580" ht="15.75" customHeight="1">
      <c r="A580" s="60"/>
      <c r="B580" s="60"/>
      <c r="C580" s="67"/>
      <c r="D580" s="60"/>
      <c r="E580" s="60"/>
    </row>
    <row r="581" ht="15.75" customHeight="1">
      <c r="A581" s="60"/>
      <c r="B581" s="60"/>
      <c r="C581" s="67"/>
      <c r="D581" s="60"/>
      <c r="E581" s="60"/>
    </row>
    <row r="582" ht="15.75" customHeight="1">
      <c r="A582" s="60"/>
      <c r="B582" s="60"/>
      <c r="C582" s="67"/>
      <c r="D582" s="60"/>
      <c r="E582" s="60"/>
    </row>
    <row r="583" ht="15.75" customHeight="1">
      <c r="A583" s="60"/>
      <c r="B583" s="60"/>
      <c r="C583" s="67"/>
      <c r="D583" s="60"/>
      <c r="E583" s="60"/>
    </row>
    <row r="584" ht="15.75" customHeight="1">
      <c r="A584" s="60"/>
      <c r="B584" s="60"/>
      <c r="C584" s="67"/>
      <c r="D584" s="60"/>
      <c r="E584" s="60"/>
    </row>
    <row r="585" ht="15.75" customHeight="1">
      <c r="A585" s="60"/>
      <c r="B585" s="60"/>
      <c r="C585" s="67"/>
      <c r="D585" s="60"/>
      <c r="E585" s="60"/>
    </row>
    <row r="586" ht="15.75" customHeight="1">
      <c r="A586" s="60"/>
      <c r="B586" s="60"/>
      <c r="C586" s="67"/>
      <c r="D586" s="60"/>
      <c r="E586" s="60"/>
    </row>
    <row r="587" ht="15.75" customHeight="1">
      <c r="A587" s="60"/>
      <c r="B587" s="60"/>
      <c r="C587" s="67"/>
      <c r="D587" s="60"/>
      <c r="E587" s="60"/>
    </row>
    <row r="588" ht="15.75" customHeight="1">
      <c r="A588" s="60"/>
      <c r="B588" s="60"/>
      <c r="C588" s="67"/>
      <c r="D588" s="60"/>
      <c r="E588" s="60"/>
    </row>
    <row r="589" ht="15.75" customHeight="1">
      <c r="A589" s="60"/>
      <c r="B589" s="60"/>
      <c r="C589" s="67"/>
      <c r="D589" s="60"/>
      <c r="E589" s="60"/>
    </row>
    <row r="590" ht="15.75" customHeight="1">
      <c r="A590" s="60"/>
      <c r="B590" s="60"/>
      <c r="C590" s="67"/>
      <c r="D590" s="60"/>
      <c r="E590" s="60"/>
    </row>
    <row r="591" ht="15.75" customHeight="1">
      <c r="A591" s="60"/>
      <c r="B591" s="60"/>
      <c r="C591" s="67"/>
      <c r="D591" s="60"/>
      <c r="E591" s="60"/>
    </row>
    <row r="592" ht="15.75" customHeight="1">
      <c r="A592" s="60"/>
      <c r="B592" s="60"/>
      <c r="C592" s="67"/>
      <c r="D592" s="60"/>
      <c r="E592" s="60"/>
    </row>
    <row r="593" ht="15.75" customHeight="1">
      <c r="A593" s="60"/>
      <c r="B593" s="60"/>
      <c r="C593" s="67"/>
      <c r="D593" s="60"/>
      <c r="E593" s="60"/>
    </row>
    <row r="594" ht="15.75" customHeight="1">
      <c r="A594" s="60"/>
      <c r="B594" s="60"/>
      <c r="C594" s="67"/>
      <c r="D594" s="60"/>
      <c r="E594" s="60"/>
    </row>
    <row r="595" ht="15.75" customHeight="1">
      <c r="A595" s="60"/>
      <c r="B595" s="60"/>
      <c r="C595" s="67"/>
      <c r="D595" s="60"/>
      <c r="E595" s="60"/>
    </row>
    <row r="596" ht="15.75" customHeight="1">
      <c r="A596" s="60"/>
      <c r="B596" s="60"/>
      <c r="C596" s="67"/>
      <c r="D596" s="60"/>
      <c r="E596" s="60"/>
    </row>
    <row r="597" ht="15.75" customHeight="1">
      <c r="A597" s="60"/>
      <c r="B597" s="60"/>
      <c r="C597" s="67"/>
      <c r="D597" s="60"/>
      <c r="E597" s="60"/>
    </row>
    <row r="598" ht="15.75" customHeight="1">
      <c r="A598" s="60"/>
      <c r="B598" s="60"/>
      <c r="C598" s="67"/>
      <c r="D598" s="60"/>
      <c r="E598" s="60"/>
    </row>
    <row r="599" ht="15.75" customHeight="1">
      <c r="A599" s="60"/>
      <c r="B599" s="60"/>
      <c r="C599" s="67"/>
      <c r="D599" s="60"/>
      <c r="E599" s="60"/>
    </row>
    <row r="600" ht="15.75" customHeight="1">
      <c r="A600" s="60"/>
      <c r="B600" s="60"/>
      <c r="C600" s="67"/>
      <c r="D600" s="60"/>
      <c r="E600" s="60"/>
    </row>
    <row r="601" ht="15.75" customHeight="1">
      <c r="A601" s="60"/>
      <c r="B601" s="60"/>
      <c r="C601" s="67"/>
      <c r="D601" s="60"/>
      <c r="E601" s="60"/>
    </row>
    <row r="602" ht="15.75" customHeight="1">
      <c r="A602" s="60"/>
      <c r="B602" s="60"/>
      <c r="C602" s="67"/>
      <c r="D602" s="60"/>
      <c r="E602" s="60"/>
    </row>
    <row r="603" ht="15.75" customHeight="1">
      <c r="A603" s="60"/>
      <c r="B603" s="60"/>
      <c r="C603" s="67"/>
      <c r="D603" s="60"/>
      <c r="E603" s="60"/>
    </row>
    <row r="604" ht="15.75" customHeight="1">
      <c r="A604" s="60"/>
      <c r="B604" s="60"/>
      <c r="C604" s="67"/>
      <c r="D604" s="60"/>
      <c r="E604" s="60"/>
    </row>
    <row r="605" ht="15.75" customHeight="1">
      <c r="A605" s="60"/>
      <c r="B605" s="60"/>
      <c r="C605" s="67"/>
      <c r="D605" s="60"/>
      <c r="E605" s="60"/>
    </row>
    <row r="606" ht="15.75" customHeight="1">
      <c r="A606" s="60"/>
      <c r="B606" s="60"/>
      <c r="C606" s="67"/>
      <c r="D606" s="60"/>
      <c r="E606" s="60"/>
    </row>
    <row r="607" ht="15.75" customHeight="1">
      <c r="A607" s="60"/>
      <c r="B607" s="60"/>
      <c r="C607" s="67"/>
      <c r="D607" s="60"/>
      <c r="E607" s="60"/>
    </row>
    <row r="608" ht="15.75" customHeight="1">
      <c r="A608" s="60"/>
      <c r="B608" s="60"/>
      <c r="C608" s="67"/>
      <c r="D608" s="60"/>
      <c r="E608" s="60"/>
    </row>
    <row r="609" ht="15.75" customHeight="1">
      <c r="A609" s="60"/>
      <c r="B609" s="60"/>
      <c r="C609" s="67"/>
      <c r="D609" s="60"/>
      <c r="E609" s="60"/>
    </row>
    <row r="610" ht="15.75" customHeight="1">
      <c r="A610" s="60"/>
      <c r="B610" s="60"/>
      <c r="C610" s="67"/>
      <c r="D610" s="60"/>
      <c r="E610" s="60"/>
    </row>
    <row r="611" ht="15.75" customHeight="1">
      <c r="A611" s="60"/>
      <c r="B611" s="60"/>
      <c r="C611" s="67"/>
      <c r="D611" s="60"/>
      <c r="E611" s="60"/>
    </row>
    <row r="612" ht="15.75" customHeight="1">
      <c r="A612" s="60"/>
      <c r="B612" s="60"/>
      <c r="C612" s="67"/>
      <c r="D612" s="60"/>
      <c r="E612" s="60"/>
    </row>
    <row r="613" ht="15.75" customHeight="1">
      <c r="A613" s="60"/>
      <c r="B613" s="60"/>
      <c r="C613" s="67"/>
      <c r="D613" s="60"/>
      <c r="E613" s="60"/>
    </row>
    <row r="614" ht="15.75" customHeight="1">
      <c r="A614" s="60"/>
      <c r="B614" s="60"/>
      <c r="C614" s="67"/>
      <c r="D614" s="60"/>
      <c r="E614" s="60"/>
    </row>
    <row r="615" ht="15.75" customHeight="1">
      <c r="A615" s="60"/>
      <c r="B615" s="60"/>
      <c r="C615" s="67"/>
      <c r="D615" s="60"/>
      <c r="E615" s="60"/>
    </row>
    <row r="616" ht="15.75" customHeight="1">
      <c r="A616" s="60"/>
      <c r="B616" s="60"/>
      <c r="C616" s="67"/>
      <c r="D616" s="60"/>
      <c r="E616" s="60"/>
    </row>
    <row r="617" ht="15.75" customHeight="1">
      <c r="A617" s="60"/>
      <c r="B617" s="60"/>
      <c r="C617" s="67"/>
      <c r="D617" s="60"/>
      <c r="E617" s="60"/>
    </row>
    <row r="618" ht="15.75" customHeight="1">
      <c r="A618" s="60"/>
      <c r="B618" s="60"/>
      <c r="C618" s="67"/>
      <c r="D618" s="60"/>
      <c r="E618" s="60"/>
    </row>
    <row r="619" ht="15.75" customHeight="1">
      <c r="A619" s="60"/>
      <c r="B619" s="60"/>
      <c r="C619" s="67"/>
      <c r="D619" s="60"/>
      <c r="E619" s="60"/>
    </row>
    <row r="620" ht="15.75" customHeight="1">
      <c r="A620" s="60"/>
      <c r="B620" s="60"/>
      <c r="C620" s="67"/>
      <c r="D620" s="60"/>
      <c r="E620" s="60"/>
    </row>
    <row r="621" ht="15.75" customHeight="1">
      <c r="A621" s="60"/>
      <c r="B621" s="60"/>
      <c r="C621" s="67"/>
      <c r="D621" s="60"/>
      <c r="E621" s="60"/>
    </row>
    <row r="622" ht="15.75" customHeight="1">
      <c r="A622" s="60"/>
      <c r="B622" s="60"/>
      <c r="C622" s="67"/>
      <c r="D622" s="60"/>
      <c r="E622" s="60"/>
    </row>
    <row r="623" ht="15.75" customHeight="1">
      <c r="A623" s="60"/>
      <c r="B623" s="60"/>
      <c r="C623" s="67"/>
      <c r="D623" s="60"/>
      <c r="E623" s="60"/>
    </row>
    <row r="624" ht="15.75" customHeight="1">
      <c r="A624" s="60"/>
      <c r="B624" s="60"/>
      <c r="C624" s="67"/>
      <c r="D624" s="60"/>
      <c r="E624" s="60"/>
    </row>
    <row r="625" ht="15.75" customHeight="1">
      <c r="A625" s="60"/>
      <c r="B625" s="60"/>
      <c r="C625" s="67"/>
      <c r="D625" s="60"/>
      <c r="E625" s="60"/>
    </row>
    <row r="626" ht="15.75" customHeight="1">
      <c r="A626" s="60"/>
      <c r="B626" s="60"/>
      <c r="C626" s="67"/>
      <c r="D626" s="60"/>
      <c r="E626" s="60"/>
    </row>
    <row r="627" ht="15.75" customHeight="1">
      <c r="A627" s="60"/>
      <c r="B627" s="60"/>
      <c r="C627" s="67"/>
      <c r="D627" s="60"/>
      <c r="E627" s="60"/>
    </row>
    <row r="628" ht="15.75" customHeight="1">
      <c r="A628" s="60"/>
      <c r="B628" s="60"/>
      <c r="C628" s="67"/>
      <c r="D628" s="60"/>
      <c r="E628" s="60"/>
    </row>
    <row r="629" ht="15.75" customHeight="1">
      <c r="A629" s="60"/>
      <c r="B629" s="60"/>
      <c r="C629" s="67"/>
      <c r="D629" s="60"/>
      <c r="E629" s="60"/>
    </row>
    <row r="630" ht="15.75" customHeight="1">
      <c r="A630" s="60"/>
      <c r="B630" s="60"/>
      <c r="C630" s="67"/>
      <c r="D630" s="60"/>
      <c r="E630" s="60"/>
    </row>
    <row r="631" ht="15.75" customHeight="1">
      <c r="A631" s="60"/>
      <c r="B631" s="60"/>
      <c r="C631" s="67"/>
      <c r="D631" s="60"/>
      <c r="E631" s="60"/>
    </row>
    <row r="632" ht="15.75" customHeight="1">
      <c r="A632" s="60"/>
      <c r="B632" s="60"/>
      <c r="C632" s="67"/>
      <c r="D632" s="60"/>
      <c r="E632" s="60"/>
    </row>
    <row r="633" ht="15.75" customHeight="1">
      <c r="A633" s="60"/>
      <c r="B633" s="60"/>
      <c r="C633" s="67"/>
      <c r="D633" s="60"/>
      <c r="E633" s="60"/>
    </row>
    <row r="634" ht="15.75" customHeight="1">
      <c r="A634" s="60"/>
      <c r="B634" s="60"/>
      <c r="C634" s="67"/>
      <c r="D634" s="60"/>
      <c r="E634" s="60"/>
    </row>
    <row r="635" ht="15.75" customHeight="1">
      <c r="A635" s="60"/>
      <c r="B635" s="60"/>
      <c r="C635" s="67"/>
      <c r="D635" s="60"/>
      <c r="E635" s="60"/>
    </row>
    <row r="636" ht="15.75" customHeight="1">
      <c r="A636" s="60"/>
      <c r="B636" s="60"/>
      <c r="C636" s="67"/>
      <c r="D636" s="60"/>
      <c r="E636" s="60"/>
    </row>
    <row r="637" ht="15.75" customHeight="1">
      <c r="A637" s="60"/>
      <c r="B637" s="60"/>
      <c r="C637" s="67"/>
      <c r="D637" s="60"/>
      <c r="E637" s="60"/>
    </row>
    <row r="638" ht="15.75" customHeight="1">
      <c r="A638" s="60"/>
      <c r="B638" s="60"/>
      <c r="C638" s="67"/>
      <c r="D638" s="60"/>
      <c r="E638" s="60"/>
    </row>
    <row r="639" ht="15.75" customHeight="1">
      <c r="A639" s="60"/>
      <c r="B639" s="60"/>
      <c r="C639" s="67"/>
      <c r="D639" s="60"/>
      <c r="E639" s="60"/>
    </row>
    <row r="640" ht="15.75" customHeight="1">
      <c r="A640" s="60"/>
      <c r="B640" s="60"/>
      <c r="C640" s="67"/>
      <c r="D640" s="60"/>
      <c r="E640" s="60"/>
    </row>
    <row r="641" ht="15.75" customHeight="1">
      <c r="A641" s="60"/>
      <c r="B641" s="60"/>
      <c r="C641" s="67"/>
      <c r="D641" s="60"/>
      <c r="E641" s="60"/>
    </row>
    <row r="642" ht="15.75" customHeight="1">
      <c r="A642" s="60"/>
      <c r="B642" s="60"/>
      <c r="C642" s="67"/>
      <c r="D642" s="60"/>
      <c r="E642" s="60"/>
    </row>
    <row r="643" ht="15.75" customHeight="1">
      <c r="A643" s="60"/>
      <c r="B643" s="60"/>
      <c r="C643" s="67"/>
      <c r="D643" s="60"/>
      <c r="E643" s="60"/>
    </row>
    <row r="644" ht="15.75" customHeight="1">
      <c r="A644" s="60"/>
      <c r="B644" s="60"/>
      <c r="C644" s="67"/>
      <c r="D644" s="60"/>
      <c r="E644" s="60"/>
    </row>
    <row r="645" ht="15.75" customHeight="1">
      <c r="A645" s="60"/>
      <c r="B645" s="60"/>
      <c r="C645" s="67"/>
      <c r="D645" s="60"/>
      <c r="E645" s="60"/>
    </row>
    <row r="646" ht="15.75" customHeight="1">
      <c r="A646" s="60"/>
      <c r="B646" s="60"/>
      <c r="C646" s="67"/>
      <c r="D646" s="60"/>
      <c r="E646" s="60"/>
    </row>
    <row r="647" ht="15.75" customHeight="1">
      <c r="A647" s="60"/>
      <c r="B647" s="60"/>
      <c r="C647" s="67"/>
      <c r="D647" s="60"/>
      <c r="E647" s="60"/>
    </row>
    <row r="648" ht="15.75" customHeight="1">
      <c r="A648" s="60"/>
      <c r="B648" s="60"/>
      <c r="C648" s="67"/>
      <c r="D648" s="60"/>
      <c r="E648" s="60"/>
    </row>
    <row r="649" ht="15.75" customHeight="1">
      <c r="A649" s="60"/>
      <c r="B649" s="60"/>
      <c r="C649" s="67"/>
      <c r="D649" s="60"/>
      <c r="E649" s="60"/>
    </row>
    <row r="650" ht="15.75" customHeight="1">
      <c r="A650" s="60"/>
      <c r="B650" s="60"/>
      <c r="C650" s="67"/>
      <c r="D650" s="60"/>
      <c r="E650" s="60"/>
    </row>
    <row r="651" ht="15.75" customHeight="1">
      <c r="A651" s="60"/>
      <c r="B651" s="60"/>
      <c r="C651" s="67"/>
      <c r="D651" s="60"/>
      <c r="E651" s="60"/>
    </row>
    <row r="652" ht="15.75" customHeight="1">
      <c r="A652" s="60"/>
      <c r="B652" s="60"/>
      <c r="C652" s="67"/>
      <c r="D652" s="60"/>
      <c r="E652" s="60"/>
    </row>
    <row r="653" ht="15.75" customHeight="1">
      <c r="A653" s="60"/>
      <c r="B653" s="60"/>
      <c r="C653" s="67"/>
      <c r="D653" s="60"/>
      <c r="E653" s="60"/>
    </row>
    <row r="654" ht="15.75" customHeight="1">
      <c r="A654" s="60"/>
      <c r="B654" s="60"/>
      <c r="C654" s="67"/>
      <c r="D654" s="60"/>
      <c r="E654" s="60"/>
    </row>
    <row r="655" ht="15.75" customHeight="1">
      <c r="A655" s="60"/>
      <c r="B655" s="60"/>
      <c r="C655" s="67"/>
      <c r="D655" s="60"/>
      <c r="E655" s="60"/>
    </row>
    <row r="656" ht="15.75" customHeight="1">
      <c r="A656" s="60"/>
      <c r="B656" s="60"/>
      <c r="C656" s="67"/>
      <c r="D656" s="60"/>
      <c r="E656" s="60"/>
    </row>
    <row r="657" ht="15.75" customHeight="1">
      <c r="A657" s="60"/>
      <c r="B657" s="60"/>
      <c r="C657" s="67"/>
      <c r="D657" s="60"/>
      <c r="E657" s="60"/>
    </row>
    <row r="658" ht="15.75" customHeight="1">
      <c r="A658" s="60"/>
      <c r="B658" s="60"/>
      <c r="C658" s="67"/>
      <c r="D658" s="60"/>
      <c r="E658" s="60"/>
    </row>
    <row r="659" ht="15.75" customHeight="1">
      <c r="A659" s="60"/>
      <c r="B659" s="60"/>
      <c r="C659" s="67"/>
      <c r="D659" s="60"/>
      <c r="E659" s="60"/>
    </row>
    <row r="660" ht="15.75" customHeight="1">
      <c r="A660" s="60"/>
      <c r="B660" s="60"/>
      <c r="C660" s="67"/>
      <c r="D660" s="60"/>
      <c r="E660" s="60"/>
    </row>
    <row r="661" ht="15.75" customHeight="1">
      <c r="A661" s="60"/>
      <c r="B661" s="60"/>
      <c r="C661" s="67"/>
      <c r="D661" s="60"/>
      <c r="E661" s="60"/>
    </row>
    <row r="662" ht="15.75" customHeight="1">
      <c r="A662" s="60"/>
      <c r="B662" s="60"/>
      <c r="C662" s="67"/>
      <c r="D662" s="60"/>
      <c r="E662" s="60"/>
    </row>
    <row r="663" ht="15.75" customHeight="1">
      <c r="A663" s="60"/>
      <c r="B663" s="60"/>
      <c r="C663" s="67"/>
      <c r="D663" s="60"/>
      <c r="E663" s="60"/>
    </row>
    <row r="664" ht="15.75" customHeight="1">
      <c r="A664" s="60"/>
      <c r="B664" s="60"/>
      <c r="C664" s="67"/>
      <c r="D664" s="60"/>
      <c r="E664" s="60"/>
    </row>
    <row r="665" ht="15.75" customHeight="1">
      <c r="A665" s="60"/>
      <c r="B665" s="60"/>
      <c r="C665" s="67"/>
      <c r="D665" s="60"/>
      <c r="E665" s="60"/>
    </row>
    <row r="666" ht="15.75" customHeight="1">
      <c r="A666" s="60"/>
      <c r="B666" s="60"/>
      <c r="C666" s="67"/>
      <c r="D666" s="60"/>
      <c r="E666" s="60"/>
    </row>
    <row r="667" ht="15.75" customHeight="1">
      <c r="A667" s="60"/>
      <c r="B667" s="60"/>
      <c r="C667" s="67"/>
      <c r="D667" s="60"/>
      <c r="E667" s="60"/>
    </row>
    <row r="668" ht="15.75" customHeight="1">
      <c r="A668" s="60"/>
      <c r="B668" s="60"/>
      <c r="C668" s="67"/>
      <c r="D668" s="60"/>
      <c r="E668" s="60"/>
    </row>
    <row r="669" ht="15.75" customHeight="1">
      <c r="A669" s="60"/>
      <c r="B669" s="60"/>
      <c r="C669" s="67"/>
      <c r="D669" s="60"/>
      <c r="E669" s="60"/>
    </row>
    <row r="670" ht="15.75" customHeight="1">
      <c r="A670" s="60"/>
      <c r="B670" s="60"/>
      <c r="C670" s="67"/>
      <c r="D670" s="60"/>
      <c r="E670" s="60"/>
    </row>
    <row r="671" ht="15.75" customHeight="1">
      <c r="A671" s="60"/>
      <c r="B671" s="60"/>
      <c r="C671" s="67"/>
      <c r="D671" s="60"/>
      <c r="E671" s="60"/>
    </row>
    <row r="672" ht="15.75" customHeight="1">
      <c r="A672" s="60"/>
      <c r="B672" s="60"/>
      <c r="C672" s="67"/>
      <c r="D672" s="60"/>
      <c r="E672" s="60"/>
    </row>
    <row r="673" ht="15.75" customHeight="1">
      <c r="A673" s="60"/>
      <c r="B673" s="60"/>
      <c r="C673" s="67"/>
      <c r="D673" s="60"/>
      <c r="E673" s="60"/>
    </row>
    <row r="674" ht="15.75" customHeight="1">
      <c r="A674" s="60"/>
      <c r="B674" s="60"/>
      <c r="C674" s="67"/>
      <c r="D674" s="60"/>
      <c r="E674" s="60"/>
    </row>
    <row r="675" ht="15.75" customHeight="1">
      <c r="A675" s="60"/>
      <c r="B675" s="60"/>
      <c r="C675" s="67"/>
      <c r="D675" s="60"/>
      <c r="E675" s="60"/>
    </row>
    <row r="676" ht="15.75" customHeight="1">
      <c r="A676" s="60"/>
      <c r="B676" s="60"/>
      <c r="C676" s="67"/>
      <c r="D676" s="60"/>
      <c r="E676" s="60"/>
    </row>
    <row r="677" ht="15.75" customHeight="1">
      <c r="A677" s="60"/>
      <c r="B677" s="60"/>
      <c r="C677" s="67"/>
      <c r="D677" s="60"/>
      <c r="E677" s="60"/>
    </row>
    <row r="678" ht="15.75" customHeight="1">
      <c r="A678" s="60"/>
      <c r="B678" s="60"/>
      <c r="C678" s="67"/>
      <c r="D678" s="60"/>
      <c r="E678" s="60"/>
    </row>
    <row r="679" ht="15.75" customHeight="1">
      <c r="A679" s="60"/>
      <c r="B679" s="60"/>
      <c r="C679" s="67"/>
      <c r="D679" s="60"/>
      <c r="E679" s="60"/>
    </row>
    <row r="680" ht="15.75" customHeight="1">
      <c r="A680" s="60"/>
      <c r="B680" s="60"/>
      <c r="C680" s="67"/>
      <c r="D680" s="60"/>
      <c r="E680" s="60"/>
    </row>
    <row r="681" ht="15.75" customHeight="1">
      <c r="A681" s="60"/>
      <c r="B681" s="60"/>
      <c r="C681" s="67"/>
      <c r="D681" s="60"/>
      <c r="E681" s="60"/>
    </row>
    <row r="682" ht="15.75" customHeight="1">
      <c r="A682" s="60"/>
      <c r="B682" s="60"/>
      <c r="C682" s="67"/>
      <c r="D682" s="60"/>
      <c r="E682" s="60"/>
    </row>
    <row r="683" ht="15.75" customHeight="1">
      <c r="A683" s="60"/>
      <c r="B683" s="60"/>
      <c r="C683" s="67"/>
      <c r="D683" s="60"/>
      <c r="E683" s="60"/>
    </row>
    <row r="684" ht="15.75" customHeight="1">
      <c r="A684" s="60"/>
      <c r="B684" s="60"/>
      <c r="C684" s="67"/>
      <c r="D684" s="60"/>
      <c r="E684" s="60"/>
    </row>
    <row r="685" ht="15.75" customHeight="1">
      <c r="A685" s="60"/>
      <c r="B685" s="60"/>
      <c r="C685" s="67"/>
      <c r="D685" s="60"/>
      <c r="E685" s="60"/>
    </row>
    <row r="686" ht="15.75" customHeight="1">
      <c r="A686" s="60"/>
      <c r="B686" s="60"/>
      <c r="C686" s="67"/>
      <c r="D686" s="60"/>
      <c r="E686" s="60"/>
    </row>
    <row r="687" ht="15.75" customHeight="1">
      <c r="A687" s="60"/>
      <c r="B687" s="60"/>
      <c r="C687" s="67"/>
      <c r="D687" s="60"/>
      <c r="E687" s="60"/>
    </row>
    <row r="688" ht="15.75" customHeight="1">
      <c r="A688" s="60"/>
      <c r="B688" s="60"/>
      <c r="C688" s="67"/>
      <c r="D688" s="60"/>
      <c r="E688" s="60"/>
    </row>
    <row r="689" ht="15.75" customHeight="1">
      <c r="A689" s="60"/>
      <c r="B689" s="60"/>
      <c r="C689" s="67"/>
      <c r="D689" s="60"/>
      <c r="E689" s="60"/>
    </row>
    <row r="690" ht="15.75" customHeight="1">
      <c r="A690" s="60"/>
      <c r="B690" s="60"/>
      <c r="C690" s="67"/>
      <c r="D690" s="60"/>
      <c r="E690" s="60"/>
    </row>
    <row r="691" ht="15.75" customHeight="1">
      <c r="A691" s="60"/>
      <c r="B691" s="60"/>
      <c r="C691" s="67"/>
      <c r="D691" s="60"/>
      <c r="E691" s="60"/>
    </row>
    <row r="692" ht="15.75" customHeight="1">
      <c r="A692" s="60"/>
      <c r="B692" s="60"/>
      <c r="C692" s="67"/>
      <c r="D692" s="60"/>
      <c r="E692" s="60"/>
    </row>
    <row r="693" ht="15.75" customHeight="1">
      <c r="A693" s="60"/>
      <c r="B693" s="60"/>
      <c r="C693" s="67"/>
      <c r="D693" s="60"/>
      <c r="E693" s="60"/>
    </row>
    <row r="694" ht="15.75" customHeight="1">
      <c r="A694" s="60"/>
      <c r="B694" s="60"/>
      <c r="C694" s="67"/>
      <c r="D694" s="60"/>
      <c r="E694" s="60"/>
    </row>
    <row r="695" ht="15.75" customHeight="1">
      <c r="A695" s="60"/>
      <c r="B695" s="60"/>
      <c r="C695" s="67"/>
      <c r="D695" s="60"/>
      <c r="E695" s="60"/>
    </row>
    <row r="696" ht="15.75" customHeight="1">
      <c r="A696" s="60"/>
      <c r="B696" s="60"/>
      <c r="C696" s="67"/>
      <c r="D696" s="60"/>
      <c r="E696" s="60"/>
    </row>
    <row r="697" ht="15.75" customHeight="1">
      <c r="A697" s="60"/>
      <c r="B697" s="60"/>
      <c r="C697" s="67"/>
      <c r="D697" s="60"/>
      <c r="E697" s="60"/>
    </row>
    <row r="698" ht="15.75" customHeight="1">
      <c r="A698" s="60"/>
      <c r="B698" s="60"/>
      <c r="C698" s="67"/>
      <c r="D698" s="60"/>
      <c r="E698" s="60"/>
    </row>
    <row r="699" ht="15.75" customHeight="1">
      <c r="A699" s="60"/>
      <c r="B699" s="60"/>
      <c r="C699" s="67"/>
      <c r="D699" s="60"/>
      <c r="E699" s="60"/>
    </row>
    <row r="700" ht="15.75" customHeight="1">
      <c r="A700" s="60"/>
      <c r="B700" s="60"/>
      <c r="C700" s="67"/>
      <c r="D700" s="60"/>
      <c r="E700" s="60"/>
    </row>
    <row r="701" ht="15.75" customHeight="1">
      <c r="A701" s="60"/>
      <c r="B701" s="60"/>
      <c r="C701" s="67"/>
      <c r="D701" s="60"/>
      <c r="E701" s="60"/>
    </row>
    <row r="702" ht="15.75" customHeight="1">
      <c r="A702" s="60"/>
      <c r="B702" s="60"/>
      <c r="C702" s="67"/>
      <c r="D702" s="60"/>
      <c r="E702" s="60"/>
    </row>
    <row r="703" ht="15.75" customHeight="1">
      <c r="A703" s="60"/>
      <c r="B703" s="60"/>
      <c r="C703" s="67"/>
      <c r="D703" s="60"/>
      <c r="E703" s="60"/>
    </row>
    <row r="704" ht="15.75" customHeight="1">
      <c r="A704" s="60"/>
      <c r="B704" s="60"/>
      <c r="C704" s="67"/>
      <c r="D704" s="60"/>
      <c r="E704" s="60"/>
    </row>
    <row r="705" ht="15.75" customHeight="1">
      <c r="A705" s="60"/>
      <c r="B705" s="60"/>
      <c r="C705" s="67"/>
      <c r="D705" s="60"/>
      <c r="E705" s="60"/>
    </row>
    <row r="706" ht="15.75" customHeight="1">
      <c r="A706" s="60"/>
      <c r="B706" s="60"/>
      <c r="C706" s="67"/>
      <c r="D706" s="60"/>
      <c r="E706" s="60"/>
    </row>
    <row r="707" ht="15.75" customHeight="1">
      <c r="A707" s="60"/>
      <c r="B707" s="60"/>
      <c r="C707" s="67"/>
      <c r="D707" s="60"/>
      <c r="E707" s="60"/>
    </row>
    <row r="708" ht="15.75" customHeight="1">
      <c r="A708" s="60"/>
      <c r="B708" s="60"/>
      <c r="C708" s="67"/>
      <c r="D708" s="60"/>
      <c r="E708" s="60"/>
    </row>
    <row r="709" ht="15.75" customHeight="1">
      <c r="A709" s="60"/>
      <c r="B709" s="60"/>
      <c r="C709" s="67"/>
      <c r="D709" s="60"/>
      <c r="E709" s="60"/>
    </row>
    <row r="710" ht="15.75" customHeight="1">
      <c r="A710" s="60"/>
      <c r="B710" s="60"/>
      <c r="C710" s="67"/>
      <c r="D710" s="60"/>
      <c r="E710" s="60"/>
    </row>
    <row r="711" ht="15.75" customHeight="1">
      <c r="A711" s="60"/>
      <c r="B711" s="60"/>
      <c r="C711" s="67"/>
      <c r="D711" s="60"/>
      <c r="E711" s="60"/>
    </row>
    <row r="712" ht="15.75" customHeight="1">
      <c r="A712" s="60"/>
      <c r="B712" s="60"/>
      <c r="C712" s="67"/>
      <c r="D712" s="60"/>
      <c r="E712" s="60"/>
    </row>
    <row r="713" ht="15.75" customHeight="1">
      <c r="A713" s="60"/>
      <c r="B713" s="60"/>
      <c r="C713" s="67"/>
      <c r="D713" s="60"/>
      <c r="E713" s="60"/>
    </row>
    <row r="714" ht="15.75" customHeight="1">
      <c r="A714" s="60"/>
      <c r="B714" s="60"/>
      <c r="C714" s="67"/>
      <c r="D714" s="60"/>
      <c r="E714" s="60"/>
    </row>
    <row r="715" ht="15.75" customHeight="1">
      <c r="A715" s="60"/>
      <c r="B715" s="60"/>
      <c r="C715" s="67"/>
      <c r="D715" s="60"/>
      <c r="E715" s="60"/>
    </row>
    <row r="716" ht="15.75" customHeight="1">
      <c r="A716" s="60"/>
      <c r="B716" s="60"/>
      <c r="C716" s="67"/>
      <c r="D716" s="60"/>
      <c r="E716" s="60"/>
    </row>
    <row r="717" ht="15.75" customHeight="1">
      <c r="A717" s="60"/>
      <c r="B717" s="60"/>
      <c r="C717" s="67"/>
      <c r="D717" s="60"/>
      <c r="E717" s="60"/>
    </row>
    <row r="718" ht="15.75" customHeight="1">
      <c r="A718" s="60"/>
      <c r="B718" s="60"/>
      <c r="C718" s="67"/>
      <c r="D718" s="60"/>
      <c r="E718" s="60"/>
    </row>
    <row r="719" ht="15.75" customHeight="1">
      <c r="A719" s="60"/>
      <c r="B719" s="60"/>
      <c r="C719" s="67"/>
      <c r="D719" s="60"/>
      <c r="E719" s="60"/>
    </row>
    <row r="720" ht="15.75" customHeight="1">
      <c r="A720" s="60"/>
      <c r="B720" s="60"/>
      <c r="C720" s="67"/>
      <c r="D720" s="60"/>
      <c r="E720" s="60"/>
    </row>
    <row r="721" ht="15.75" customHeight="1">
      <c r="A721" s="60"/>
      <c r="B721" s="60"/>
      <c r="C721" s="67"/>
      <c r="D721" s="60"/>
      <c r="E721" s="60"/>
    </row>
    <row r="722" ht="15.75" customHeight="1">
      <c r="A722" s="60"/>
      <c r="B722" s="60"/>
      <c r="C722" s="67"/>
      <c r="D722" s="60"/>
      <c r="E722" s="60"/>
    </row>
    <row r="723" ht="15.75" customHeight="1">
      <c r="A723" s="60"/>
      <c r="B723" s="60"/>
      <c r="C723" s="67"/>
      <c r="D723" s="60"/>
      <c r="E723" s="60"/>
    </row>
    <row r="724" ht="15.75" customHeight="1">
      <c r="A724" s="60"/>
      <c r="B724" s="60"/>
      <c r="C724" s="67"/>
      <c r="D724" s="60"/>
      <c r="E724" s="60"/>
    </row>
    <row r="725" ht="15.75" customHeight="1">
      <c r="A725" s="60"/>
      <c r="B725" s="60"/>
      <c r="C725" s="67"/>
      <c r="D725" s="60"/>
      <c r="E725" s="60"/>
    </row>
    <row r="726" ht="15.75" customHeight="1">
      <c r="A726" s="60"/>
      <c r="B726" s="60"/>
      <c r="C726" s="67"/>
      <c r="D726" s="60"/>
      <c r="E726" s="60"/>
    </row>
    <row r="727" ht="15.75" customHeight="1">
      <c r="A727" s="60"/>
      <c r="B727" s="60"/>
      <c r="C727" s="67"/>
      <c r="D727" s="60"/>
      <c r="E727" s="60"/>
    </row>
    <row r="728" ht="15.75" customHeight="1">
      <c r="A728" s="60"/>
      <c r="B728" s="60"/>
      <c r="C728" s="67"/>
      <c r="D728" s="60"/>
      <c r="E728" s="60"/>
    </row>
    <row r="729" ht="15.75" customHeight="1">
      <c r="A729" s="60"/>
      <c r="B729" s="60"/>
      <c r="C729" s="67"/>
      <c r="D729" s="60"/>
      <c r="E729" s="60"/>
    </row>
    <row r="730" ht="15.75" customHeight="1">
      <c r="A730" s="60"/>
      <c r="B730" s="60"/>
      <c r="C730" s="67"/>
      <c r="D730" s="60"/>
      <c r="E730" s="60"/>
    </row>
    <row r="731" ht="15.75" customHeight="1">
      <c r="A731" s="60"/>
      <c r="B731" s="60"/>
      <c r="C731" s="67"/>
      <c r="D731" s="60"/>
      <c r="E731" s="60"/>
    </row>
    <row r="732" ht="15.75" customHeight="1">
      <c r="A732" s="60"/>
      <c r="B732" s="60"/>
      <c r="C732" s="67"/>
      <c r="D732" s="60"/>
      <c r="E732" s="60"/>
    </row>
    <row r="733" ht="15.75" customHeight="1">
      <c r="A733" s="60"/>
      <c r="B733" s="60"/>
      <c r="C733" s="67"/>
      <c r="D733" s="60"/>
      <c r="E733" s="60"/>
    </row>
    <row r="734" ht="15.75" customHeight="1">
      <c r="A734" s="60"/>
      <c r="B734" s="60"/>
      <c r="C734" s="67"/>
      <c r="D734" s="60"/>
      <c r="E734" s="60"/>
    </row>
    <row r="735" ht="15.75" customHeight="1">
      <c r="A735" s="60"/>
      <c r="B735" s="60"/>
      <c r="C735" s="67"/>
      <c r="D735" s="60"/>
      <c r="E735" s="60"/>
    </row>
    <row r="736" ht="15.75" customHeight="1">
      <c r="A736" s="60"/>
      <c r="B736" s="60"/>
      <c r="C736" s="67"/>
      <c r="D736" s="60"/>
      <c r="E736" s="60"/>
    </row>
    <row r="737" ht="15.75" customHeight="1">
      <c r="A737" s="60"/>
      <c r="B737" s="60"/>
      <c r="C737" s="67"/>
      <c r="D737" s="60"/>
      <c r="E737" s="60"/>
    </row>
    <row r="738" ht="15.75" customHeight="1">
      <c r="A738" s="60"/>
      <c r="B738" s="60"/>
      <c r="C738" s="67"/>
      <c r="D738" s="60"/>
      <c r="E738" s="60"/>
    </row>
    <row r="739" ht="15.75" customHeight="1">
      <c r="A739" s="60"/>
      <c r="B739" s="60"/>
      <c r="C739" s="67"/>
      <c r="D739" s="60"/>
      <c r="E739" s="60"/>
    </row>
    <row r="740" ht="15.75" customHeight="1">
      <c r="A740" s="60"/>
      <c r="B740" s="60"/>
      <c r="C740" s="67"/>
      <c r="D740" s="60"/>
      <c r="E740" s="60"/>
    </row>
    <row r="741" ht="15.75" customHeight="1">
      <c r="A741" s="60"/>
      <c r="B741" s="60"/>
      <c r="C741" s="67"/>
      <c r="D741" s="60"/>
      <c r="E741" s="60"/>
    </row>
    <row r="742" ht="15.75" customHeight="1">
      <c r="A742" s="60"/>
      <c r="B742" s="60"/>
      <c r="C742" s="67"/>
      <c r="D742" s="60"/>
      <c r="E742" s="60"/>
    </row>
    <row r="743" ht="15.75" customHeight="1">
      <c r="A743" s="60"/>
      <c r="B743" s="60"/>
      <c r="C743" s="67"/>
      <c r="D743" s="60"/>
      <c r="E743" s="60"/>
    </row>
    <row r="744" ht="15.75" customHeight="1">
      <c r="A744" s="60"/>
      <c r="B744" s="60"/>
      <c r="C744" s="67"/>
      <c r="D744" s="60"/>
      <c r="E744" s="60"/>
    </row>
    <row r="745" ht="15.75" customHeight="1">
      <c r="A745" s="60"/>
      <c r="B745" s="60"/>
      <c r="C745" s="67"/>
      <c r="D745" s="60"/>
      <c r="E745" s="60"/>
    </row>
    <row r="746" ht="15.75" customHeight="1">
      <c r="A746" s="60"/>
      <c r="B746" s="60"/>
      <c r="C746" s="67"/>
      <c r="D746" s="60"/>
      <c r="E746" s="60"/>
    </row>
    <row r="747" ht="15.75" customHeight="1">
      <c r="A747" s="60"/>
      <c r="B747" s="60"/>
      <c r="C747" s="67"/>
      <c r="D747" s="60"/>
      <c r="E747" s="60"/>
    </row>
    <row r="748" ht="15.75" customHeight="1">
      <c r="A748" s="60"/>
      <c r="B748" s="60"/>
      <c r="C748" s="67"/>
      <c r="D748" s="60"/>
      <c r="E748" s="60"/>
    </row>
    <row r="749" ht="15.75" customHeight="1">
      <c r="A749" s="60"/>
      <c r="B749" s="60"/>
      <c r="C749" s="67"/>
      <c r="D749" s="60"/>
      <c r="E749" s="60"/>
    </row>
    <row r="750" ht="15.75" customHeight="1">
      <c r="A750" s="60"/>
      <c r="B750" s="60"/>
      <c r="C750" s="67"/>
      <c r="D750" s="60"/>
      <c r="E750" s="60"/>
    </row>
    <row r="751" ht="15.75" customHeight="1">
      <c r="A751" s="60"/>
      <c r="B751" s="60"/>
      <c r="C751" s="67"/>
      <c r="D751" s="60"/>
      <c r="E751" s="60"/>
    </row>
    <row r="752" ht="15.75" customHeight="1">
      <c r="A752" s="60"/>
      <c r="B752" s="60"/>
      <c r="C752" s="67"/>
      <c r="D752" s="60"/>
      <c r="E752" s="60"/>
    </row>
    <row r="753" ht="15.75" customHeight="1">
      <c r="A753" s="60"/>
      <c r="B753" s="60"/>
      <c r="C753" s="67"/>
      <c r="D753" s="60"/>
      <c r="E753" s="60"/>
    </row>
    <row r="754" ht="15.75" customHeight="1">
      <c r="A754" s="60"/>
      <c r="B754" s="60"/>
      <c r="C754" s="67"/>
      <c r="D754" s="60"/>
      <c r="E754" s="60"/>
    </row>
    <row r="755" ht="15.75" customHeight="1">
      <c r="A755" s="60"/>
      <c r="B755" s="60"/>
      <c r="C755" s="67"/>
      <c r="D755" s="60"/>
      <c r="E755" s="60"/>
    </row>
    <row r="756" ht="15.75" customHeight="1">
      <c r="A756" s="60"/>
      <c r="B756" s="60"/>
      <c r="C756" s="67"/>
      <c r="D756" s="60"/>
      <c r="E756" s="60"/>
    </row>
    <row r="757" ht="15.75" customHeight="1">
      <c r="A757" s="60"/>
      <c r="B757" s="60"/>
      <c r="C757" s="67"/>
      <c r="D757" s="60"/>
      <c r="E757" s="60"/>
    </row>
    <row r="758" ht="15.75" customHeight="1">
      <c r="A758" s="60"/>
      <c r="B758" s="60"/>
      <c r="C758" s="67"/>
      <c r="D758" s="60"/>
      <c r="E758" s="60"/>
    </row>
    <row r="759" ht="15.75" customHeight="1">
      <c r="A759" s="60"/>
      <c r="B759" s="60"/>
      <c r="C759" s="67"/>
      <c r="D759" s="60"/>
      <c r="E759" s="60"/>
    </row>
    <row r="760" ht="15.75" customHeight="1">
      <c r="A760" s="60"/>
      <c r="B760" s="60"/>
      <c r="C760" s="67"/>
      <c r="D760" s="60"/>
      <c r="E760" s="60"/>
    </row>
    <row r="761" ht="15.75" customHeight="1">
      <c r="A761" s="60"/>
      <c r="B761" s="60"/>
      <c r="C761" s="67"/>
      <c r="D761" s="60"/>
      <c r="E761" s="60"/>
    </row>
    <row r="762" ht="15.75" customHeight="1">
      <c r="A762" s="60"/>
      <c r="B762" s="60"/>
      <c r="C762" s="67"/>
      <c r="D762" s="60"/>
      <c r="E762" s="60"/>
    </row>
    <row r="763" ht="15.75" customHeight="1">
      <c r="A763" s="60"/>
      <c r="B763" s="60"/>
      <c r="C763" s="67"/>
      <c r="D763" s="60"/>
      <c r="E763" s="60"/>
    </row>
    <row r="764" ht="15.75" customHeight="1">
      <c r="A764" s="60"/>
      <c r="B764" s="60"/>
      <c r="C764" s="67"/>
      <c r="D764" s="60"/>
      <c r="E764" s="60"/>
    </row>
    <row r="765" ht="15.75" customHeight="1">
      <c r="A765" s="60"/>
      <c r="B765" s="60"/>
      <c r="C765" s="67"/>
      <c r="D765" s="60"/>
      <c r="E765" s="60"/>
    </row>
    <row r="766" ht="15.75" customHeight="1">
      <c r="A766" s="60"/>
      <c r="B766" s="60"/>
      <c r="C766" s="67"/>
      <c r="D766" s="60"/>
      <c r="E766" s="60"/>
    </row>
    <row r="767" ht="15.75" customHeight="1">
      <c r="A767" s="60"/>
      <c r="B767" s="60"/>
      <c r="C767" s="67"/>
      <c r="D767" s="60"/>
      <c r="E767" s="60"/>
    </row>
    <row r="768" ht="15.75" customHeight="1">
      <c r="A768" s="60"/>
      <c r="B768" s="60"/>
      <c r="C768" s="67"/>
      <c r="D768" s="60"/>
      <c r="E768" s="60"/>
    </row>
    <row r="769" ht="15.75" customHeight="1">
      <c r="A769" s="60"/>
      <c r="B769" s="60"/>
      <c r="C769" s="67"/>
      <c r="D769" s="60"/>
      <c r="E769" s="60"/>
    </row>
    <row r="770" ht="15.75" customHeight="1">
      <c r="A770" s="60"/>
      <c r="B770" s="60"/>
      <c r="C770" s="67"/>
      <c r="D770" s="60"/>
      <c r="E770" s="60"/>
    </row>
    <row r="771" ht="15.75" customHeight="1">
      <c r="A771" s="60"/>
      <c r="B771" s="60"/>
      <c r="C771" s="67"/>
      <c r="D771" s="60"/>
      <c r="E771" s="60"/>
    </row>
    <row r="772" ht="15.75" customHeight="1">
      <c r="A772" s="60"/>
      <c r="B772" s="60"/>
      <c r="C772" s="67"/>
      <c r="D772" s="60"/>
      <c r="E772" s="60"/>
    </row>
    <row r="773" ht="15.75" customHeight="1">
      <c r="A773" s="60"/>
      <c r="B773" s="60"/>
      <c r="C773" s="67"/>
      <c r="D773" s="60"/>
      <c r="E773" s="60"/>
    </row>
    <row r="774" ht="15.75" customHeight="1">
      <c r="A774" s="60"/>
      <c r="B774" s="60"/>
      <c r="C774" s="67"/>
      <c r="D774" s="60"/>
      <c r="E774" s="60"/>
    </row>
    <row r="775" ht="15.75" customHeight="1">
      <c r="A775" s="60"/>
      <c r="B775" s="60"/>
      <c r="C775" s="67"/>
      <c r="D775" s="60"/>
      <c r="E775" s="60"/>
    </row>
    <row r="776" ht="15.75" customHeight="1">
      <c r="A776" s="60"/>
      <c r="B776" s="60"/>
      <c r="C776" s="67"/>
      <c r="D776" s="60"/>
      <c r="E776" s="60"/>
    </row>
    <row r="777" ht="15.75" customHeight="1">
      <c r="A777" s="60"/>
      <c r="B777" s="60"/>
      <c r="C777" s="67"/>
      <c r="D777" s="60"/>
      <c r="E777" s="60"/>
    </row>
    <row r="778" ht="15.75" customHeight="1">
      <c r="A778" s="60"/>
      <c r="B778" s="60"/>
      <c r="C778" s="67"/>
      <c r="D778" s="60"/>
      <c r="E778" s="60"/>
    </row>
    <row r="779" ht="15.75" customHeight="1">
      <c r="A779" s="60"/>
      <c r="B779" s="60"/>
      <c r="C779" s="67"/>
      <c r="D779" s="60"/>
      <c r="E779" s="60"/>
    </row>
    <row r="780" ht="15.75" customHeight="1">
      <c r="A780" s="60"/>
      <c r="B780" s="60"/>
      <c r="C780" s="67"/>
      <c r="D780" s="60"/>
      <c r="E780" s="60"/>
    </row>
    <row r="781" ht="15.75" customHeight="1">
      <c r="A781" s="60"/>
      <c r="B781" s="60"/>
      <c r="C781" s="67"/>
      <c r="D781" s="60"/>
      <c r="E781" s="60"/>
    </row>
    <row r="782" ht="15.75" customHeight="1">
      <c r="A782" s="60"/>
      <c r="B782" s="60"/>
      <c r="C782" s="67"/>
      <c r="D782" s="60"/>
      <c r="E782" s="60"/>
    </row>
    <row r="783" ht="15.75" customHeight="1">
      <c r="A783" s="60"/>
      <c r="B783" s="60"/>
      <c r="C783" s="67"/>
      <c r="D783" s="60"/>
      <c r="E783" s="60"/>
    </row>
    <row r="784" ht="15.75" customHeight="1">
      <c r="A784" s="60"/>
      <c r="B784" s="60"/>
      <c r="C784" s="67"/>
      <c r="D784" s="60"/>
      <c r="E784" s="60"/>
    </row>
    <row r="785" ht="15.75" customHeight="1">
      <c r="A785" s="60"/>
      <c r="B785" s="60"/>
      <c r="C785" s="67"/>
      <c r="D785" s="60"/>
      <c r="E785" s="60"/>
    </row>
    <row r="786" ht="15.75" customHeight="1">
      <c r="A786" s="60"/>
      <c r="B786" s="60"/>
      <c r="C786" s="67"/>
      <c r="D786" s="60"/>
      <c r="E786" s="60"/>
    </row>
    <row r="787" ht="15.75" customHeight="1">
      <c r="A787" s="60"/>
      <c r="B787" s="60"/>
      <c r="C787" s="67"/>
      <c r="D787" s="60"/>
      <c r="E787" s="60"/>
    </row>
    <row r="788" ht="15.75" customHeight="1">
      <c r="A788" s="60"/>
      <c r="B788" s="60"/>
      <c r="C788" s="67"/>
      <c r="D788" s="60"/>
      <c r="E788" s="60"/>
    </row>
    <row r="789" ht="15.75" customHeight="1">
      <c r="A789" s="60"/>
      <c r="B789" s="60"/>
      <c r="C789" s="67"/>
      <c r="D789" s="60"/>
      <c r="E789" s="60"/>
    </row>
    <row r="790" ht="15.75" customHeight="1">
      <c r="A790" s="60"/>
      <c r="B790" s="60"/>
      <c r="C790" s="67"/>
      <c r="D790" s="60"/>
      <c r="E790" s="60"/>
    </row>
    <row r="791" ht="15.75" customHeight="1">
      <c r="A791" s="60"/>
      <c r="B791" s="60"/>
      <c r="C791" s="67"/>
      <c r="D791" s="60"/>
      <c r="E791" s="60"/>
    </row>
    <row r="792" ht="15.75" customHeight="1">
      <c r="A792" s="60"/>
      <c r="B792" s="60"/>
      <c r="C792" s="67"/>
      <c r="D792" s="60"/>
      <c r="E792" s="60"/>
    </row>
    <row r="793" ht="15.75" customHeight="1">
      <c r="A793" s="60"/>
      <c r="B793" s="60"/>
      <c r="C793" s="67"/>
      <c r="D793" s="60"/>
      <c r="E793" s="60"/>
    </row>
    <row r="794" ht="15.75" customHeight="1">
      <c r="A794" s="60"/>
      <c r="B794" s="60"/>
      <c r="C794" s="67"/>
      <c r="D794" s="60"/>
      <c r="E794" s="60"/>
    </row>
    <row r="795" ht="15.75" customHeight="1">
      <c r="A795" s="60"/>
      <c r="B795" s="60"/>
      <c r="C795" s="67"/>
      <c r="D795" s="60"/>
      <c r="E795" s="60"/>
    </row>
    <row r="796" ht="15.75" customHeight="1">
      <c r="A796" s="60"/>
      <c r="B796" s="60"/>
      <c r="C796" s="67"/>
      <c r="D796" s="60"/>
      <c r="E796" s="60"/>
    </row>
    <row r="797" ht="15.75" customHeight="1">
      <c r="A797" s="60"/>
      <c r="B797" s="60"/>
      <c r="C797" s="67"/>
      <c r="D797" s="60"/>
      <c r="E797" s="60"/>
    </row>
    <row r="798" ht="15.75" customHeight="1">
      <c r="A798" s="60"/>
      <c r="B798" s="60"/>
      <c r="C798" s="67"/>
      <c r="D798" s="60"/>
      <c r="E798" s="60"/>
    </row>
    <row r="799" ht="15.75" customHeight="1">
      <c r="A799" s="60"/>
      <c r="B799" s="60"/>
      <c r="C799" s="67"/>
      <c r="D799" s="60"/>
      <c r="E799" s="60"/>
    </row>
    <row r="800" ht="15.75" customHeight="1">
      <c r="A800" s="60"/>
      <c r="B800" s="60"/>
      <c r="C800" s="67"/>
      <c r="D800" s="60"/>
      <c r="E800" s="60"/>
    </row>
    <row r="801" ht="15.75" customHeight="1">
      <c r="A801" s="60"/>
      <c r="B801" s="60"/>
      <c r="C801" s="67"/>
      <c r="D801" s="60"/>
      <c r="E801" s="60"/>
    </row>
    <row r="802" ht="15.75" customHeight="1">
      <c r="A802" s="60"/>
      <c r="B802" s="60"/>
      <c r="C802" s="67"/>
      <c r="D802" s="60"/>
      <c r="E802" s="60"/>
    </row>
    <row r="803" ht="15.75" customHeight="1">
      <c r="A803" s="60"/>
      <c r="B803" s="60"/>
      <c r="C803" s="67"/>
      <c r="D803" s="60"/>
      <c r="E803" s="60"/>
    </row>
    <row r="804" ht="15.75" customHeight="1">
      <c r="A804" s="60"/>
      <c r="B804" s="60"/>
      <c r="C804" s="67"/>
      <c r="D804" s="60"/>
      <c r="E804" s="60"/>
    </row>
    <row r="805" ht="15.75" customHeight="1">
      <c r="A805" s="60"/>
      <c r="B805" s="60"/>
      <c r="C805" s="67"/>
      <c r="D805" s="60"/>
      <c r="E805" s="60"/>
    </row>
    <row r="806" ht="15.75" customHeight="1">
      <c r="A806" s="60"/>
      <c r="B806" s="60"/>
      <c r="C806" s="67"/>
      <c r="D806" s="60"/>
      <c r="E806" s="60"/>
    </row>
    <row r="807" ht="15.75" customHeight="1">
      <c r="A807" s="60"/>
      <c r="B807" s="60"/>
      <c r="C807" s="67"/>
      <c r="D807" s="60"/>
      <c r="E807" s="60"/>
    </row>
    <row r="808" ht="15.75" customHeight="1">
      <c r="A808" s="60"/>
      <c r="B808" s="60"/>
      <c r="C808" s="67"/>
      <c r="D808" s="60"/>
      <c r="E808" s="60"/>
    </row>
    <row r="809" ht="15.75" customHeight="1">
      <c r="A809" s="60"/>
      <c r="B809" s="60"/>
      <c r="C809" s="67"/>
      <c r="D809" s="60"/>
      <c r="E809" s="60"/>
    </row>
    <row r="810" ht="15.75" customHeight="1">
      <c r="A810" s="60"/>
      <c r="B810" s="60"/>
      <c r="C810" s="67"/>
      <c r="D810" s="60"/>
      <c r="E810" s="60"/>
    </row>
    <row r="811" ht="15.75" customHeight="1">
      <c r="A811" s="60"/>
      <c r="B811" s="60"/>
      <c r="C811" s="67"/>
      <c r="D811" s="60"/>
      <c r="E811" s="60"/>
    </row>
    <row r="812" ht="15.75" customHeight="1">
      <c r="A812" s="60"/>
      <c r="B812" s="60"/>
      <c r="C812" s="67"/>
      <c r="D812" s="60"/>
      <c r="E812" s="60"/>
    </row>
    <row r="813" ht="15.75" customHeight="1">
      <c r="A813" s="60"/>
      <c r="B813" s="60"/>
      <c r="C813" s="67"/>
      <c r="D813" s="60"/>
      <c r="E813" s="60"/>
    </row>
    <row r="814" ht="15.75" customHeight="1">
      <c r="A814" s="60"/>
      <c r="B814" s="60"/>
      <c r="C814" s="67"/>
      <c r="D814" s="60"/>
      <c r="E814" s="60"/>
    </row>
    <row r="815" ht="15.75" customHeight="1">
      <c r="A815" s="60"/>
      <c r="B815" s="60"/>
      <c r="C815" s="67"/>
      <c r="D815" s="60"/>
      <c r="E815" s="60"/>
    </row>
    <row r="816" ht="15.75" customHeight="1">
      <c r="A816" s="60"/>
      <c r="B816" s="60"/>
      <c r="C816" s="67"/>
      <c r="D816" s="60"/>
      <c r="E816" s="60"/>
    </row>
    <row r="817" ht="15.75" customHeight="1">
      <c r="A817" s="60"/>
      <c r="B817" s="60"/>
      <c r="C817" s="67"/>
      <c r="D817" s="60"/>
      <c r="E817" s="60"/>
    </row>
    <row r="818" ht="15.75" customHeight="1">
      <c r="A818" s="60"/>
      <c r="B818" s="60"/>
      <c r="C818" s="67"/>
      <c r="D818" s="60"/>
      <c r="E818" s="60"/>
    </row>
    <row r="819" ht="15.75" customHeight="1">
      <c r="A819" s="60"/>
      <c r="B819" s="60"/>
      <c r="C819" s="67"/>
      <c r="D819" s="60"/>
      <c r="E819" s="60"/>
    </row>
    <row r="820" ht="15.75" customHeight="1">
      <c r="A820" s="60"/>
      <c r="B820" s="60"/>
      <c r="C820" s="67"/>
      <c r="D820" s="60"/>
      <c r="E820" s="60"/>
    </row>
    <row r="821" ht="15.75" customHeight="1">
      <c r="A821" s="60"/>
      <c r="B821" s="60"/>
      <c r="C821" s="67"/>
      <c r="D821" s="60"/>
      <c r="E821" s="60"/>
    </row>
    <row r="822" ht="15.75" customHeight="1">
      <c r="A822" s="60"/>
      <c r="B822" s="60"/>
      <c r="C822" s="67"/>
      <c r="D822" s="60"/>
      <c r="E822" s="60"/>
    </row>
    <row r="823" ht="15.75" customHeight="1">
      <c r="A823" s="60"/>
      <c r="B823" s="60"/>
      <c r="C823" s="67"/>
      <c r="D823" s="60"/>
      <c r="E823" s="60"/>
    </row>
    <row r="824" ht="15.75" customHeight="1">
      <c r="A824" s="60"/>
      <c r="B824" s="60"/>
      <c r="C824" s="67"/>
      <c r="D824" s="60"/>
      <c r="E824" s="60"/>
    </row>
    <row r="825" ht="15.75" customHeight="1">
      <c r="A825" s="60"/>
      <c r="B825" s="60"/>
      <c r="C825" s="67"/>
      <c r="D825" s="60"/>
      <c r="E825" s="60"/>
    </row>
    <row r="826" ht="15.75" customHeight="1">
      <c r="A826" s="60"/>
      <c r="B826" s="60"/>
      <c r="C826" s="67"/>
      <c r="D826" s="60"/>
      <c r="E826" s="60"/>
    </row>
    <row r="827" ht="15.75" customHeight="1">
      <c r="A827" s="60"/>
      <c r="B827" s="60"/>
      <c r="C827" s="67"/>
      <c r="D827" s="60"/>
      <c r="E827" s="60"/>
    </row>
    <row r="828" ht="15.75" customHeight="1">
      <c r="A828" s="60"/>
      <c r="B828" s="60"/>
      <c r="C828" s="67"/>
      <c r="D828" s="60"/>
      <c r="E828" s="60"/>
    </row>
    <row r="829" ht="15.75" customHeight="1">
      <c r="A829" s="60"/>
      <c r="B829" s="60"/>
      <c r="C829" s="67"/>
      <c r="D829" s="60"/>
      <c r="E829" s="60"/>
    </row>
    <row r="830" ht="15.75" customHeight="1">
      <c r="A830" s="60"/>
      <c r="B830" s="60"/>
      <c r="C830" s="67"/>
      <c r="D830" s="60"/>
      <c r="E830" s="60"/>
    </row>
    <row r="831" ht="15.75" customHeight="1">
      <c r="A831" s="60"/>
      <c r="B831" s="60"/>
      <c r="C831" s="67"/>
      <c r="D831" s="60"/>
      <c r="E831" s="60"/>
    </row>
    <row r="832" ht="15.75" customHeight="1">
      <c r="A832" s="60"/>
      <c r="B832" s="60"/>
      <c r="C832" s="67"/>
      <c r="D832" s="60"/>
      <c r="E832" s="60"/>
    </row>
    <row r="833" ht="15.75" customHeight="1">
      <c r="A833" s="60"/>
      <c r="B833" s="60"/>
      <c r="C833" s="67"/>
      <c r="D833" s="60"/>
      <c r="E833" s="60"/>
    </row>
    <row r="834" ht="15.75" customHeight="1">
      <c r="A834" s="60"/>
      <c r="B834" s="60"/>
      <c r="C834" s="67"/>
      <c r="D834" s="60"/>
      <c r="E834" s="60"/>
    </row>
    <row r="835" ht="15.75" customHeight="1">
      <c r="A835" s="60"/>
      <c r="B835" s="60"/>
      <c r="C835" s="67"/>
      <c r="D835" s="60"/>
      <c r="E835" s="60"/>
    </row>
    <row r="836" ht="15.75" customHeight="1">
      <c r="A836" s="60"/>
      <c r="B836" s="60"/>
      <c r="C836" s="67"/>
      <c r="D836" s="60"/>
      <c r="E836" s="60"/>
    </row>
    <row r="837" ht="15.75" customHeight="1">
      <c r="A837" s="60"/>
      <c r="B837" s="60"/>
      <c r="C837" s="67"/>
      <c r="D837" s="60"/>
      <c r="E837" s="60"/>
    </row>
    <row r="838" ht="15.75" customHeight="1">
      <c r="A838" s="60"/>
      <c r="B838" s="60"/>
      <c r="C838" s="67"/>
      <c r="D838" s="60"/>
      <c r="E838" s="60"/>
    </row>
    <row r="839" ht="15.75" customHeight="1">
      <c r="A839" s="60"/>
      <c r="B839" s="60"/>
      <c r="C839" s="67"/>
      <c r="D839" s="60"/>
      <c r="E839" s="60"/>
    </row>
    <row r="840" ht="15.75" customHeight="1">
      <c r="A840" s="60"/>
      <c r="B840" s="60"/>
      <c r="C840" s="67"/>
      <c r="D840" s="60"/>
      <c r="E840" s="60"/>
    </row>
    <row r="841" ht="15.75" customHeight="1">
      <c r="A841" s="60"/>
      <c r="B841" s="60"/>
      <c r="C841" s="67"/>
      <c r="D841" s="60"/>
      <c r="E841" s="60"/>
    </row>
    <row r="842" ht="15.75" customHeight="1">
      <c r="A842" s="60"/>
      <c r="B842" s="60"/>
      <c r="C842" s="67"/>
      <c r="D842" s="60"/>
      <c r="E842" s="60"/>
    </row>
    <row r="843" ht="15.75" customHeight="1">
      <c r="A843" s="60"/>
      <c r="B843" s="60"/>
      <c r="C843" s="67"/>
      <c r="D843" s="60"/>
      <c r="E843" s="60"/>
    </row>
    <row r="844" ht="15.75" customHeight="1">
      <c r="A844" s="60"/>
      <c r="B844" s="60"/>
      <c r="C844" s="67"/>
      <c r="D844" s="60"/>
      <c r="E844" s="60"/>
    </row>
    <row r="845" ht="15.75" customHeight="1">
      <c r="A845" s="60"/>
      <c r="B845" s="60"/>
      <c r="C845" s="67"/>
      <c r="D845" s="60"/>
      <c r="E845" s="60"/>
    </row>
    <row r="846" ht="15.75" customHeight="1">
      <c r="A846" s="60"/>
      <c r="B846" s="60"/>
      <c r="C846" s="67"/>
      <c r="D846" s="60"/>
      <c r="E846" s="60"/>
    </row>
    <row r="847" ht="15.75" customHeight="1">
      <c r="A847" s="60"/>
      <c r="B847" s="60"/>
      <c r="C847" s="67"/>
      <c r="D847" s="60"/>
      <c r="E847" s="60"/>
    </row>
    <row r="848" ht="15.75" customHeight="1">
      <c r="A848" s="60"/>
      <c r="B848" s="60"/>
      <c r="C848" s="67"/>
      <c r="D848" s="60"/>
      <c r="E848" s="60"/>
    </row>
    <row r="849" ht="15.75" customHeight="1">
      <c r="A849" s="60"/>
      <c r="B849" s="60"/>
      <c r="C849" s="67"/>
      <c r="D849" s="60"/>
      <c r="E849" s="60"/>
    </row>
    <row r="850" ht="15.75" customHeight="1">
      <c r="A850" s="60"/>
      <c r="B850" s="60"/>
      <c r="C850" s="67"/>
      <c r="D850" s="60"/>
      <c r="E850" s="60"/>
    </row>
    <row r="851" ht="15.75" customHeight="1">
      <c r="A851" s="60"/>
      <c r="B851" s="60"/>
      <c r="C851" s="67"/>
      <c r="D851" s="60"/>
      <c r="E851" s="60"/>
    </row>
    <row r="852" ht="15.75" customHeight="1">
      <c r="A852" s="60"/>
      <c r="B852" s="60"/>
      <c r="C852" s="67"/>
      <c r="D852" s="60"/>
      <c r="E852" s="60"/>
    </row>
    <row r="853" ht="15.75" customHeight="1">
      <c r="A853" s="60"/>
      <c r="B853" s="60"/>
      <c r="C853" s="67"/>
      <c r="D853" s="60"/>
      <c r="E853" s="60"/>
    </row>
    <row r="854" ht="15.75" customHeight="1">
      <c r="A854" s="60"/>
      <c r="B854" s="60"/>
      <c r="C854" s="67"/>
      <c r="D854" s="60"/>
      <c r="E854" s="60"/>
    </row>
    <row r="855" ht="15.75" customHeight="1">
      <c r="A855" s="60"/>
      <c r="B855" s="60"/>
      <c r="C855" s="67"/>
      <c r="D855" s="60"/>
      <c r="E855" s="60"/>
    </row>
    <row r="856" ht="15.75" customHeight="1">
      <c r="A856" s="60"/>
      <c r="B856" s="60"/>
      <c r="C856" s="67"/>
      <c r="D856" s="60"/>
      <c r="E856" s="60"/>
    </row>
    <row r="857" ht="15.75" customHeight="1">
      <c r="A857" s="60"/>
      <c r="B857" s="60"/>
      <c r="C857" s="67"/>
      <c r="D857" s="60"/>
      <c r="E857" s="60"/>
    </row>
    <row r="858" ht="15.75" customHeight="1">
      <c r="A858" s="60"/>
      <c r="B858" s="60"/>
      <c r="C858" s="67"/>
      <c r="D858" s="60"/>
      <c r="E858" s="60"/>
    </row>
    <row r="859" ht="15.75" customHeight="1">
      <c r="A859" s="60"/>
      <c r="B859" s="60"/>
      <c r="C859" s="67"/>
      <c r="D859" s="60"/>
      <c r="E859" s="60"/>
    </row>
    <row r="860" ht="15.75" customHeight="1">
      <c r="A860" s="60"/>
      <c r="B860" s="60"/>
      <c r="C860" s="67"/>
      <c r="D860" s="60"/>
      <c r="E860" s="60"/>
    </row>
    <row r="861" ht="15.75" customHeight="1">
      <c r="A861" s="60"/>
      <c r="B861" s="60"/>
      <c r="C861" s="67"/>
      <c r="D861" s="60"/>
      <c r="E861" s="60"/>
    </row>
    <row r="862" ht="15.75" customHeight="1">
      <c r="A862" s="60"/>
      <c r="B862" s="60"/>
      <c r="C862" s="67"/>
      <c r="D862" s="60"/>
      <c r="E862" s="60"/>
    </row>
    <row r="863" ht="15.75" customHeight="1">
      <c r="A863" s="60"/>
      <c r="B863" s="60"/>
      <c r="C863" s="67"/>
      <c r="D863" s="60"/>
      <c r="E863" s="60"/>
    </row>
    <row r="864" ht="15.75" customHeight="1">
      <c r="A864" s="60"/>
      <c r="B864" s="60"/>
      <c r="C864" s="67"/>
      <c r="D864" s="60"/>
      <c r="E864" s="60"/>
    </row>
    <row r="865" ht="15.75" customHeight="1">
      <c r="A865" s="60"/>
      <c r="B865" s="60"/>
      <c r="C865" s="67"/>
      <c r="D865" s="60"/>
      <c r="E865" s="60"/>
    </row>
    <row r="866" ht="15.75" customHeight="1">
      <c r="A866" s="60"/>
      <c r="B866" s="60"/>
      <c r="C866" s="67"/>
      <c r="D866" s="60"/>
      <c r="E866" s="60"/>
    </row>
    <row r="867" ht="15.75" customHeight="1">
      <c r="A867" s="60"/>
      <c r="B867" s="60"/>
      <c r="C867" s="67"/>
      <c r="D867" s="60"/>
      <c r="E867" s="60"/>
    </row>
    <row r="868" ht="15.75" customHeight="1">
      <c r="A868" s="60"/>
      <c r="B868" s="60"/>
      <c r="C868" s="67"/>
      <c r="D868" s="60"/>
      <c r="E868" s="60"/>
    </row>
    <row r="869" ht="15.75" customHeight="1">
      <c r="A869" s="60"/>
      <c r="B869" s="60"/>
      <c r="C869" s="67"/>
      <c r="D869" s="60"/>
      <c r="E869" s="60"/>
    </row>
    <row r="870" ht="15.75" customHeight="1">
      <c r="A870" s="60"/>
      <c r="B870" s="60"/>
      <c r="C870" s="67"/>
      <c r="D870" s="60"/>
      <c r="E870" s="60"/>
    </row>
    <row r="871" ht="15.75" customHeight="1">
      <c r="A871" s="60"/>
      <c r="B871" s="60"/>
      <c r="C871" s="67"/>
      <c r="D871" s="60"/>
      <c r="E871" s="60"/>
    </row>
    <row r="872" ht="15.75" customHeight="1">
      <c r="A872" s="60"/>
      <c r="B872" s="60"/>
      <c r="C872" s="67"/>
      <c r="D872" s="60"/>
      <c r="E872" s="60"/>
    </row>
    <row r="873" ht="15.75" customHeight="1">
      <c r="A873" s="60"/>
      <c r="B873" s="60"/>
      <c r="C873" s="67"/>
      <c r="D873" s="60"/>
      <c r="E873" s="60"/>
    </row>
    <row r="874" ht="15.75" customHeight="1">
      <c r="A874" s="60"/>
      <c r="B874" s="60"/>
      <c r="C874" s="67"/>
      <c r="D874" s="60"/>
      <c r="E874" s="60"/>
    </row>
    <row r="875" ht="15.75" customHeight="1">
      <c r="A875" s="60"/>
      <c r="B875" s="60"/>
      <c r="C875" s="67"/>
      <c r="D875" s="60"/>
      <c r="E875" s="60"/>
    </row>
    <row r="876" ht="15.75" customHeight="1">
      <c r="A876" s="60"/>
      <c r="B876" s="60"/>
      <c r="C876" s="67"/>
      <c r="D876" s="60"/>
      <c r="E876" s="60"/>
    </row>
    <row r="877" ht="15.75" customHeight="1">
      <c r="A877" s="60"/>
      <c r="B877" s="60"/>
      <c r="C877" s="67"/>
      <c r="D877" s="60"/>
      <c r="E877" s="60"/>
    </row>
    <row r="878" ht="15.75" customHeight="1">
      <c r="A878" s="60"/>
      <c r="B878" s="60"/>
      <c r="C878" s="67"/>
      <c r="D878" s="60"/>
      <c r="E878" s="60"/>
    </row>
    <row r="879" ht="15.75" customHeight="1">
      <c r="A879" s="60"/>
      <c r="B879" s="60"/>
      <c r="C879" s="67"/>
      <c r="D879" s="60"/>
      <c r="E879" s="60"/>
    </row>
    <row r="880" ht="15.75" customHeight="1">
      <c r="A880" s="60"/>
      <c r="B880" s="60"/>
      <c r="C880" s="67"/>
      <c r="D880" s="60"/>
      <c r="E880" s="60"/>
    </row>
    <row r="881" ht="15.75" customHeight="1">
      <c r="A881" s="60"/>
      <c r="B881" s="60"/>
      <c r="C881" s="67"/>
      <c r="D881" s="60"/>
      <c r="E881" s="60"/>
    </row>
    <row r="882" ht="15.75" customHeight="1">
      <c r="A882" s="60"/>
      <c r="B882" s="60"/>
      <c r="C882" s="67"/>
      <c r="D882" s="60"/>
      <c r="E882" s="60"/>
    </row>
    <row r="883" ht="15.75" customHeight="1">
      <c r="A883" s="60"/>
      <c r="B883" s="60"/>
      <c r="C883" s="67"/>
      <c r="D883" s="60"/>
      <c r="E883" s="60"/>
    </row>
    <row r="884" ht="15.75" customHeight="1">
      <c r="A884" s="60"/>
      <c r="B884" s="60"/>
      <c r="C884" s="67"/>
      <c r="D884" s="60"/>
      <c r="E884" s="60"/>
    </row>
    <row r="885" ht="15.75" customHeight="1">
      <c r="A885" s="60"/>
      <c r="B885" s="60"/>
      <c r="C885" s="67"/>
      <c r="D885" s="60"/>
      <c r="E885" s="60"/>
    </row>
    <row r="886" ht="15.75" customHeight="1">
      <c r="A886" s="60"/>
      <c r="B886" s="60"/>
      <c r="C886" s="67"/>
      <c r="D886" s="60"/>
      <c r="E886" s="60"/>
    </row>
    <row r="887" ht="15.75" customHeight="1">
      <c r="A887" s="60"/>
      <c r="B887" s="60"/>
      <c r="C887" s="67"/>
      <c r="D887" s="60"/>
      <c r="E887" s="60"/>
    </row>
    <row r="888" ht="15.75" customHeight="1">
      <c r="A888" s="60"/>
      <c r="B888" s="60"/>
      <c r="C888" s="67"/>
      <c r="D888" s="60"/>
      <c r="E888" s="60"/>
    </row>
    <row r="889" ht="15.75" customHeight="1">
      <c r="A889" s="60"/>
      <c r="B889" s="60"/>
      <c r="C889" s="67"/>
      <c r="D889" s="60"/>
      <c r="E889" s="60"/>
    </row>
    <row r="890" ht="15.75" customHeight="1">
      <c r="A890" s="60"/>
      <c r="B890" s="60"/>
      <c r="C890" s="67"/>
      <c r="D890" s="60"/>
      <c r="E890" s="60"/>
    </row>
    <row r="891" ht="15.75" customHeight="1">
      <c r="A891" s="60"/>
      <c r="B891" s="60"/>
      <c r="C891" s="67"/>
      <c r="D891" s="60"/>
      <c r="E891" s="60"/>
    </row>
    <row r="892" ht="15.75" customHeight="1">
      <c r="A892" s="60"/>
      <c r="B892" s="60"/>
      <c r="C892" s="67"/>
      <c r="D892" s="60"/>
      <c r="E892" s="60"/>
    </row>
    <row r="893" ht="15.75" customHeight="1">
      <c r="A893" s="60"/>
      <c r="B893" s="60"/>
      <c r="C893" s="67"/>
      <c r="D893" s="60"/>
      <c r="E893" s="60"/>
    </row>
    <row r="894" ht="15.75" customHeight="1">
      <c r="A894" s="60"/>
      <c r="B894" s="60"/>
      <c r="C894" s="67"/>
      <c r="D894" s="60"/>
      <c r="E894" s="60"/>
    </row>
    <row r="895" ht="15.75" customHeight="1">
      <c r="A895" s="60"/>
      <c r="B895" s="60"/>
      <c r="C895" s="67"/>
      <c r="D895" s="60"/>
      <c r="E895" s="60"/>
    </row>
    <row r="896" ht="15.75" customHeight="1">
      <c r="A896" s="60"/>
      <c r="B896" s="60"/>
      <c r="C896" s="67"/>
      <c r="D896" s="60"/>
      <c r="E896" s="60"/>
    </row>
    <row r="897" ht="15.75" customHeight="1">
      <c r="A897" s="60"/>
      <c r="B897" s="60"/>
      <c r="C897" s="67"/>
      <c r="D897" s="60"/>
      <c r="E897" s="60"/>
    </row>
    <row r="898" ht="15.75" customHeight="1">
      <c r="A898" s="60"/>
      <c r="B898" s="60"/>
      <c r="C898" s="67"/>
      <c r="D898" s="60"/>
      <c r="E898" s="60"/>
    </row>
    <row r="899" ht="15.75" customHeight="1">
      <c r="A899" s="60"/>
      <c r="B899" s="60"/>
      <c r="C899" s="67"/>
      <c r="D899" s="60"/>
      <c r="E899" s="60"/>
    </row>
    <row r="900" ht="15.75" customHeight="1">
      <c r="A900" s="60"/>
      <c r="B900" s="60"/>
      <c r="C900" s="67"/>
      <c r="D900" s="60"/>
      <c r="E900" s="60"/>
    </row>
    <row r="901" ht="15.75" customHeight="1">
      <c r="A901" s="60"/>
      <c r="B901" s="60"/>
      <c r="C901" s="67"/>
      <c r="D901" s="60"/>
      <c r="E901" s="60"/>
    </row>
    <row r="902" ht="15.75" customHeight="1">
      <c r="A902" s="60"/>
      <c r="B902" s="60"/>
      <c r="C902" s="67"/>
      <c r="D902" s="60"/>
      <c r="E902" s="60"/>
    </row>
    <row r="903" ht="15.75" customHeight="1">
      <c r="A903" s="60"/>
      <c r="B903" s="60"/>
      <c r="C903" s="67"/>
      <c r="D903" s="60"/>
      <c r="E903" s="60"/>
    </row>
    <row r="904" ht="15.75" customHeight="1">
      <c r="A904" s="60"/>
      <c r="B904" s="60"/>
      <c r="C904" s="67"/>
      <c r="D904" s="60"/>
      <c r="E904" s="60"/>
    </row>
    <row r="905" ht="15.75" customHeight="1">
      <c r="A905" s="60"/>
      <c r="B905" s="60"/>
      <c r="C905" s="67"/>
      <c r="D905" s="60"/>
      <c r="E905" s="60"/>
    </row>
    <row r="906" ht="15.75" customHeight="1">
      <c r="A906" s="60"/>
      <c r="B906" s="60"/>
      <c r="C906" s="67"/>
      <c r="D906" s="60"/>
      <c r="E906" s="60"/>
    </row>
    <row r="907" ht="15.75" customHeight="1">
      <c r="A907" s="60"/>
      <c r="B907" s="60"/>
      <c r="C907" s="67"/>
      <c r="D907" s="60"/>
      <c r="E907" s="60"/>
    </row>
    <row r="908" ht="15.75" customHeight="1">
      <c r="A908" s="60"/>
      <c r="B908" s="60"/>
      <c r="C908" s="67"/>
      <c r="D908" s="60"/>
      <c r="E908" s="60"/>
    </row>
    <row r="909" ht="15.75" customHeight="1">
      <c r="A909" s="60"/>
      <c r="B909" s="60"/>
      <c r="C909" s="67"/>
      <c r="D909" s="60"/>
      <c r="E909" s="60"/>
    </row>
    <row r="910" ht="15.75" customHeight="1">
      <c r="A910" s="60"/>
      <c r="B910" s="60"/>
      <c r="C910" s="67"/>
      <c r="D910" s="60"/>
      <c r="E910" s="60"/>
    </row>
    <row r="911" ht="15.75" customHeight="1">
      <c r="A911" s="60"/>
      <c r="B911" s="60"/>
      <c r="C911" s="67"/>
      <c r="D911" s="60"/>
      <c r="E911" s="60"/>
    </row>
    <row r="912" ht="15.75" customHeight="1">
      <c r="A912" s="60"/>
      <c r="B912" s="60"/>
      <c r="C912" s="67"/>
      <c r="D912" s="60"/>
      <c r="E912" s="60"/>
    </row>
    <row r="913" ht="15.75" customHeight="1">
      <c r="A913" s="60"/>
      <c r="B913" s="60"/>
      <c r="C913" s="67"/>
      <c r="D913" s="60"/>
      <c r="E913" s="60"/>
    </row>
    <row r="914" ht="15.75" customHeight="1">
      <c r="A914" s="60"/>
      <c r="B914" s="60"/>
      <c r="C914" s="67"/>
      <c r="D914" s="60"/>
      <c r="E914" s="60"/>
    </row>
    <row r="915" ht="15.75" customHeight="1">
      <c r="A915" s="60"/>
      <c r="B915" s="60"/>
      <c r="C915" s="67"/>
      <c r="D915" s="60"/>
      <c r="E915" s="60"/>
    </row>
    <row r="916" ht="15.75" customHeight="1">
      <c r="A916" s="60"/>
      <c r="B916" s="60"/>
      <c r="C916" s="67"/>
      <c r="D916" s="60"/>
      <c r="E916" s="60"/>
    </row>
    <row r="917" ht="15.75" customHeight="1">
      <c r="A917" s="60"/>
      <c r="B917" s="60"/>
      <c r="C917" s="67"/>
      <c r="D917" s="60"/>
      <c r="E917" s="60"/>
    </row>
    <row r="918" ht="15.75" customHeight="1">
      <c r="A918" s="60"/>
      <c r="B918" s="60"/>
      <c r="C918" s="67"/>
      <c r="D918" s="60"/>
      <c r="E918" s="60"/>
    </row>
    <row r="919" ht="15.75" customHeight="1">
      <c r="A919" s="60"/>
      <c r="B919" s="60"/>
      <c r="C919" s="67"/>
      <c r="D919" s="60"/>
      <c r="E919" s="60"/>
    </row>
    <row r="920" ht="15.75" customHeight="1">
      <c r="A920" s="60"/>
      <c r="B920" s="60"/>
      <c r="C920" s="67"/>
      <c r="D920" s="60"/>
      <c r="E920" s="60"/>
    </row>
    <row r="921" ht="15.75" customHeight="1">
      <c r="A921" s="60"/>
      <c r="B921" s="60"/>
      <c r="C921" s="67"/>
      <c r="D921" s="60"/>
      <c r="E921" s="60"/>
    </row>
    <row r="922" ht="15.75" customHeight="1">
      <c r="A922" s="60"/>
      <c r="B922" s="60"/>
      <c r="C922" s="67"/>
      <c r="D922" s="60"/>
      <c r="E922" s="60"/>
    </row>
    <row r="923" ht="15.75" customHeight="1">
      <c r="A923" s="60"/>
      <c r="B923" s="60"/>
      <c r="C923" s="67"/>
      <c r="D923" s="60"/>
      <c r="E923" s="60"/>
    </row>
    <row r="924" ht="15.75" customHeight="1">
      <c r="A924" s="60"/>
      <c r="B924" s="60"/>
      <c r="C924" s="67"/>
      <c r="D924" s="60"/>
      <c r="E924" s="60"/>
    </row>
    <row r="925" ht="15.75" customHeight="1">
      <c r="A925" s="60"/>
      <c r="B925" s="60"/>
      <c r="C925" s="67"/>
      <c r="D925" s="60"/>
      <c r="E925" s="60"/>
    </row>
    <row r="926" ht="15.75" customHeight="1">
      <c r="A926" s="60"/>
      <c r="B926" s="60"/>
      <c r="C926" s="67"/>
      <c r="D926" s="60"/>
      <c r="E926" s="60"/>
    </row>
    <row r="927" ht="15.75" customHeight="1">
      <c r="A927" s="60"/>
      <c r="B927" s="60"/>
      <c r="C927" s="67"/>
      <c r="D927" s="60"/>
      <c r="E927" s="60"/>
    </row>
    <row r="928" ht="15.75" customHeight="1">
      <c r="A928" s="60"/>
      <c r="B928" s="60"/>
      <c r="C928" s="67"/>
      <c r="D928" s="60"/>
      <c r="E928" s="60"/>
    </row>
    <row r="929" ht="15.75" customHeight="1">
      <c r="A929" s="60"/>
      <c r="B929" s="60"/>
      <c r="C929" s="67"/>
      <c r="D929" s="60"/>
      <c r="E929" s="60"/>
    </row>
    <row r="930" ht="15.75" customHeight="1">
      <c r="A930" s="60"/>
      <c r="B930" s="60"/>
      <c r="C930" s="67"/>
      <c r="D930" s="60"/>
      <c r="E930" s="60"/>
    </row>
    <row r="931" ht="15.75" customHeight="1">
      <c r="A931" s="60"/>
      <c r="B931" s="60"/>
      <c r="C931" s="67"/>
      <c r="D931" s="60"/>
      <c r="E931" s="60"/>
    </row>
    <row r="932" ht="15.75" customHeight="1">
      <c r="A932" s="60"/>
      <c r="B932" s="60"/>
      <c r="C932" s="67"/>
      <c r="D932" s="60"/>
      <c r="E932" s="60"/>
    </row>
    <row r="933" ht="15.75" customHeight="1">
      <c r="A933" s="60"/>
      <c r="B933" s="60"/>
      <c r="C933" s="67"/>
      <c r="D933" s="60"/>
      <c r="E933" s="60"/>
    </row>
    <row r="934" ht="15.75" customHeight="1">
      <c r="A934" s="60"/>
      <c r="B934" s="60"/>
      <c r="C934" s="67"/>
      <c r="D934" s="60"/>
      <c r="E934" s="60"/>
    </row>
    <row r="935" ht="15.75" customHeight="1">
      <c r="A935" s="60"/>
      <c r="B935" s="60"/>
      <c r="C935" s="67"/>
      <c r="D935" s="60"/>
      <c r="E935" s="60"/>
    </row>
    <row r="936" ht="15.75" customHeight="1">
      <c r="A936" s="60"/>
      <c r="B936" s="60"/>
      <c r="C936" s="67"/>
      <c r="D936" s="60"/>
      <c r="E936" s="60"/>
    </row>
    <row r="937" ht="15.75" customHeight="1">
      <c r="A937" s="60"/>
      <c r="B937" s="60"/>
      <c r="C937" s="67"/>
      <c r="D937" s="60"/>
      <c r="E937" s="60"/>
    </row>
    <row r="938" ht="15.75" customHeight="1">
      <c r="A938" s="60"/>
      <c r="B938" s="60"/>
      <c r="C938" s="67"/>
      <c r="D938" s="60"/>
      <c r="E938" s="60"/>
    </row>
    <row r="939" ht="15.75" customHeight="1">
      <c r="A939" s="60"/>
      <c r="B939" s="60"/>
      <c r="C939" s="67"/>
      <c r="D939" s="60"/>
      <c r="E939" s="60"/>
    </row>
    <row r="940" ht="15.75" customHeight="1">
      <c r="A940" s="60"/>
      <c r="B940" s="60"/>
      <c r="C940" s="67"/>
      <c r="D940" s="60"/>
      <c r="E940" s="60"/>
    </row>
    <row r="941" ht="15.75" customHeight="1">
      <c r="A941" s="60"/>
      <c r="B941" s="60"/>
      <c r="C941" s="67"/>
      <c r="D941" s="60"/>
      <c r="E941" s="60"/>
    </row>
    <row r="942" ht="15.75" customHeight="1">
      <c r="A942" s="60"/>
      <c r="B942" s="60"/>
      <c r="C942" s="67"/>
      <c r="D942" s="60"/>
      <c r="E942" s="60"/>
    </row>
    <row r="943" ht="15.75" customHeight="1">
      <c r="A943" s="60"/>
      <c r="B943" s="60"/>
      <c r="C943" s="67"/>
      <c r="D943" s="60"/>
      <c r="E943" s="60"/>
    </row>
    <row r="944" ht="15.75" customHeight="1">
      <c r="A944" s="60"/>
      <c r="B944" s="60"/>
      <c r="C944" s="67"/>
      <c r="D944" s="60"/>
      <c r="E944" s="60"/>
    </row>
    <row r="945" ht="15.75" customHeight="1">
      <c r="A945" s="60"/>
      <c r="B945" s="60"/>
      <c r="C945" s="67"/>
      <c r="D945" s="60"/>
      <c r="E945" s="60"/>
    </row>
    <row r="946" ht="15.75" customHeight="1">
      <c r="A946" s="60"/>
      <c r="B946" s="60"/>
      <c r="C946" s="67"/>
      <c r="D946" s="60"/>
      <c r="E946" s="60"/>
    </row>
    <row r="947" ht="15.75" customHeight="1">
      <c r="A947" s="60"/>
      <c r="B947" s="60"/>
      <c r="C947" s="67"/>
      <c r="D947" s="60"/>
      <c r="E947" s="60"/>
    </row>
    <row r="948" ht="15.75" customHeight="1">
      <c r="A948" s="60"/>
      <c r="B948" s="60"/>
      <c r="C948" s="67"/>
      <c r="D948" s="60"/>
      <c r="E948" s="60"/>
    </row>
    <row r="949" ht="15.75" customHeight="1">
      <c r="A949" s="60"/>
      <c r="B949" s="60"/>
      <c r="C949" s="67"/>
      <c r="D949" s="60"/>
      <c r="E949" s="60"/>
    </row>
    <row r="950" ht="15.75" customHeight="1">
      <c r="A950" s="60"/>
      <c r="B950" s="60"/>
      <c r="C950" s="67"/>
      <c r="D950" s="60"/>
      <c r="E950" s="60"/>
    </row>
    <row r="951" ht="15.75" customHeight="1">
      <c r="A951" s="60"/>
      <c r="B951" s="60"/>
      <c r="C951" s="67"/>
      <c r="D951" s="60"/>
      <c r="E951" s="60"/>
    </row>
    <row r="952" ht="15.75" customHeight="1">
      <c r="A952" s="60"/>
      <c r="B952" s="60"/>
      <c r="C952" s="67"/>
      <c r="D952" s="60"/>
      <c r="E952" s="60"/>
    </row>
    <row r="953" ht="15.75" customHeight="1">
      <c r="A953" s="60"/>
      <c r="B953" s="60"/>
      <c r="C953" s="67"/>
      <c r="D953" s="60"/>
      <c r="E953" s="60"/>
    </row>
    <row r="954" ht="15.75" customHeight="1">
      <c r="A954" s="60"/>
      <c r="B954" s="60"/>
      <c r="C954" s="67"/>
      <c r="D954" s="60"/>
      <c r="E954" s="60"/>
    </row>
    <row r="955" ht="15.75" customHeight="1">
      <c r="A955" s="60"/>
      <c r="B955" s="60"/>
      <c r="C955" s="67"/>
      <c r="D955" s="60"/>
      <c r="E955" s="60"/>
    </row>
    <row r="956" ht="15.75" customHeight="1">
      <c r="A956" s="60"/>
      <c r="B956" s="60"/>
      <c r="C956" s="67"/>
      <c r="D956" s="60"/>
      <c r="E956" s="60"/>
    </row>
    <row r="957" ht="15.75" customHeight="1">
      <c r="A957" s="60"/>
      <c r="B957" s="60"/>
      <c r="C957" s="67"/>
      <c r="D957" s="60"/>
      <c r="E957" s="60"/>
    </row>
    <row r="958" ht="15.75" customHeight="1">
      <c r="A958" s="60"/>
      <c r="B958" s="60"/>
      <c r="C958" s="67"/>
      <c r="D958" s="60"/>
      <c r="E958" s="60"/>
    </row>
    <row r="959" ht="15.75" customHeight="1">
      <c r="A959" s="60"/>
      <c r="B959" s="60"/>
      <c r="C959" s="67"/>
      <c r="D959" s="60"/>
      <c r="E959" s="60"/>
    </row>
    <row r="960" ht="15.75" customHeight="1">
      <c r="A960" s="60"/>
      <c r="B960" s="60"/>
      <c r="C960" s="67"/>
      <c r="D960" s="60"/>
      <c r="E960" s="60"/>
    </row>
    <row r="961" ht="15.75" customHeight="1">
      <c r="A961" s="60"/>
      <c r="B961" s="60"/>
      <c r="C961" s="67"/>
      <c r="D961" s="60"/>
      <c r="E961" s="60"/>
    </row>
    <row r="962" ht="15.75" customHeight="1">
      <c r="A962" s="60"/>
      <c r="B962" s="60"/>
      <c r="C962" s="67"/>
      <c r="D962" s="60"/>
      <c r="E962" s="60"/>
    </row>
    <row r="963" ht="15.75" customHeight="1">
      <c r="A963" s="60"/>
      <c r="B963" s="60"/>
      <c r="C963" s="67"/>
      <c r="D963" s="60"/>
      <c r="E963" s="60"/>
    </row>
    <row r="964" ht="15.75" customHeight="1">
      <c r="A964" s="60"/>
      <c r="B964" s="60"/>
      <c r="C964" s="67"/>
      <c r="D964" s="60"/>
      <c r="E964" s="60"/>
    </row>
    <row r="965" ht="15.75" customHeight="1">
      <c r="A965" s="60"/>
      <c r="B965" s="60"/>
      <c r="C965" s="67"/>
      <c r="D965" s="60"/>
      <c r="E965" s="60"/>
    </row>
    <row r="966" ht="15.75" customHeight="1">
      <c r="A966" s="60"/>
      <c r="B966" s="60"/>
      <c r="C966" s="67"/>
      <c r="D966" s="60"/>
      <c r="E966" s="60"/>
    </row>
    <row r="967" ht="15.75" customHeight="1">
      <c r="A967" s="60"/>
      <c r="B967" s="60"/>
      <c r="C967" s="67"/>
      <c r="D967" s="60"/>
      <c r="E967" s="60"/>
    </row>
    <row r="968" ht="15.75" customHeight="1">
      <c r="A968" s="60"/>
      <c r="B968" s="60"/>
      <c r="C968" s="67"/>
      <c r="D968" s="60"/>
      <c r="E968" s="60"/>
    </row>
    <row r="969" ht="15.75" customHeight="1">
      <c r="A969" s="60"/>
      <c r="B969" s="60"/>
      <c r="C969" s="67"/>
      <c r="D969" s="60"/>
      <c r="E969" s="60"/>
    </row>
    <row r="970" ht="15.75" customHeight="1">
      <c r="A970" s="60"/>
      <c r="B970" s="60"/>
      <c r="C970" s="67"/>
      <c r="D970" s="60"/>
      <c r="E970" s="60"/>
    </row>
    <row r="971" ht="15.75" customHeight="1">
      <c r="A971" s="60"/>
      <c r="B971" s="60"/>
      <c r="C971" s="67"/>
      <c r="D971" s="60"/>
      <c r="E971" s="60"/>
    </row>
    <row r="972" ht="15.75" customHeight="1">
      <c r="A972" s="60"/>
      <c r="B972" s="60"/>
      <c r="C972" s="67"/>
      <c r="D972" s="60"/>
      <c r="E972" s="60"/>
    </row>
    <row r="973" ht="15.75" customHeight="1">
      <c r="A973" s="60"/>
      <c r="B973" s="60"/>
      <c r="C973" s="67"/>
      <c r="D973" s="60"/>
      <c r="E973" s="60"/>
    </row>
    <row r="974" ht="15.75" customHeight="1">
      <c r="A974" s="60"/>
      <c r="B974" s="60"/>
      <c r="C974" s="67"/>
      <c r="D974" s="60"/>
      <c r="E974" s="60"/>
    </row>
    <row r="975" ht="15.75" customHeight="1">
      <c r="A975" s="60"/>
      <c r="B975" s="60"/>
      <c r="C975" s="67"/>
      <c r="D975" s="60"/>
      <c r="E975" s="60"/>
    </row>
    <row r="976" ht="15.75" customHeight="1">
      <c r="A976" s="60"/>
      <c r="B976" s="60"/>
      <c r="C976" s="67"/>
      <c r="D976" s="60"/>
      <c r="E976" s="60"/>
    </row>
    <row r="977" ht="15.75" customHeight="1">
      <c r="A977" s="60"/>
      <c r="B977" s="60"/>
      <c r="C977" s="67"/>
      <c r="D977" s="60"/>
      <c r="E977" s="60"/>
    </row>
    <row r="978" ht="15.75" customHeight="1">
      <c r="A978" s="60"/>
      <c r="B978" s="60"/>
      <c r="C978" s="67"/>
      <c r="D978" s="60"/>
      <c r="E978" s="60"/>
    </row>
    <row r="979" ht="15.75" customHeight="1">
      <c r="A979" s="60"/>
      <c r="B979" s="60"/>
      <c r="C979" s="67"/>
      <c r="D979" s="60"/>
      <c r="E979" s="60"/>
    </row>
    <row r="980" ht="15.75" customHeight="1">
      <c r="A980" s="60"/>
      <c r="B980" s="60"/>
      <c r="C980" s="67"/>
      <c r="D980" s="60"/>
      <c r="E980" s="60"/>
    </row>
    <row r="981" ht="15.75" customHeight="1">
      <c r="A981" s="60"/>
      <c r="B981" s="60"/>
      <c r="C981" s="67"/>
      <c r="D981" s="60"/>
      <c r="E981" s="60"/>
    </row>
    <row r="982" ht="15.75" customHeight="1">
      <c r="A982" s="60"/>
      <c r="B982" s="60"/>
      <c r="C982" s="67"/>
      <c r="D982" s="60"/>
      <c r="E982" s="60"/>
    </row>
    <row r="983" ht="15.75" customHeight="1">
      <c r="A983" s="60"/>
      <c r="B983" s="60"/>
      <c r="C983" s="67"/>
      <c r="D983" s="60"/>
      <c r="E983" s="60"/>
    </row>
    <row r="984" ht="15.75" customHeight="1">
      <c r="A984" s="60"/>
      <c r="B984" s="60"/>
      <c r="C984" s="67"/>
      <c r="D984" s="60"/>
      <c r="E984" s="60"/>
    </row>
    <row r="985" ht="15.75" customHeight="1">
      <c r="A985" s="60"/>
      <c r="B985" s="60"/>
      <c r="C985" s="67"/>
      <c r="D985" s="60"/>
      <c r="E985" s="60"/>
    </row>
    <row r="986" ht="15.75" customHeight="1">
      <c r="A986" s="60"/>
      <c r="B986" s="60"/>
      <c r="C986" s="67"/>
      <c r="D986" s="60"/>
      <c r="E986" s="60"/>
    </row>
    <row r="987" ht="15.75" customHeight="1">
      <c r="A987" s="60"/>
      <c r="B987" s="60"/>
      <c r="C987" s="67"/>
      <c r="D987" s="60"/>
      <c r="E987" s="60"/>
    </row>
    <row r="988" ht="15.75" customHeight="1">
      <c r="A988" s="60"/>
      <c r="B988" s="60"/>
      <c r="C988" s="67"/>
      <c r="D988" s="60"/>
      <c r="E988" s="60"/>
    </row>
    <row r="989" ht="15.75" customHeight="1">
      <c r="A989" s="60"/>
      <c r="B989" s="60"/>
      <c r="C989" s="67"/>
      <c r="D989" s="60"/>
      <c r="E989" s="60"/>
    </row>
    <row r="990" ht="15.75" customHeight="1">
      <c r="A990" s="60"/>
      <c r="B990" s="60"/>
      <c r="C990" s="67"/>
      <c r="D990" s="60"/>
      <c r="E990" s="60"/>
    </row>
    <row r="991" ht="15.75" customHeight="1">
      <c r="A991" s="60"/>
      <c r="B991" s="60"/>
      <c r="C991" s="67"/>
      <c r="D991" s="60"/>
      <c r="E991" s="60"/>
    </row>
    <row r="992" ht="15.75" customHeight="1">
      <c r="A992" s="60"/>
      <c r="B992" s="60"/>
      <c r="C992" s="67"/>
      <c r="D992" s="60"/>
      <c r="E992" s="60"/>
    </row>
    <row r="993" ht="15.75" customHeight="1">
      <c r="A993" s="60"/>
      <c r="B993" s="60"/>
      <c r="C993" s="67"/>
      <c r="D993" s="60"/>
      <c r="E993" s="60"/>
    </row>
    <row r="994" ht="15.75" customHeight="1">
      <c r="A994" s="60"/>
      <c r="B994" s="60"/>
      <c r="C994" s="67"/>
      <c r="D994" s="60"/>
      <c r="E994" s="60"/>
    </row>
    <row r="995" ht="15.75" customHeight="1">
      <c r="A995" s="60"/>
      <c r="B995" s="60"/>
      <c r="C995" s="67"/>
      <c r="D995" s="60"/>
      <c r="E995" s="60"/>
    </row>
    <row r="996" ht="15.75" customHeight="1">
      <c r="A996" s="60"/>
      <c r="B996" s="60"/>
      <c r="C996" s="67"/>
      <c r="D996" s="60"/>
      <c r="E996" s="60"/>
    </row>
    <row r="997" ht="15.75" customHeight="1">
      <c r="A997" s="60"/>
      <c r="B997" s="60"/>
      <c r="C997" s="67"/>
      <c r="D997" s="60"/>
      <c r="E997" s="60"/>
    </row>
    <row r="998" ht="15.75" customHeight="1">
      <c r="A998" s="60"/>
      <c r="B998" s="60"/>
      <c r="C998" s="67"/>
      <c r="D998" s="60"/>
      <c r="E998" s="60"/>
    </row>
    <row r="999" ht="15.75" customHeight="1">
      <c r="A999" s="60"/>
      <c r="B999" s="60"/>
      <c r="C999" s="67"/>
      <c r="D999" s="60"/>
      <c r="E999" s="60"/>
    </row>
    <row r="1000" ht="15.75" customHeight="1">
      <c r="A1000" s="60"/>
      <c r="B1000" s="60"/>
      <c r="C1000" s="67"/>
      <c r="D1000" s="60"/>
      <c r="E1000" s="60"/>
    </row>
    <row r="1001" ht="15.75" customHeight="1">
      <c r="A1001" s="60"/>
      <c r="B1001" s="60"/>
      <c r="C1001" s="67"/>
      <c r="D1001" s="60"/>
      <c r="E1001" s="60"/>
    </row>
    <row r="1002" ht="15.75" customHeight="1">
      <c r="A1002" s="60"/>
      <c r="B1002" s="60"/>
      <c r="C1002" s="67"/>
      <c r="D1002" s="60"/>
      <c r="E1002" s="60"/>
    </row>
    <row r="1003" ht="15.75" customHeight="1">
      <c r="A1003" s="60"/>
      <c r="B1003" s="60"/>
      <c r="C1003" s="67"/>
      <c r="D1003" s="60"/>
      <c r="E1003" s="60"/>
    </row>
    <row r="1004" ht="15.75" customHeight="1">
      <c r="A1004" s="60"/>
      <c r="B1004" s="60"/>
      <c r="C1004" s="67"/>
      <c r="D1004" s="60"/>
      <c r="E1004" s="60"/>
    </row>
    <row r="1005" ht="15.75" customHeight="1">
      <c r="A1005" s="60"/>
      <c r="B1005" s="60"/>
      <c r="C1005" s="67"/>
      <c r="D1005" s="60"/>
      <c r="E1005" s="60"/>
    </row>
  </sheetData>
  <autoFilter ref="$A$1:$P$506">
    <sortState ref="A1:P506">
      <sortCondition ref="A1:A506"/>
      <sortCondition ref="C1:C506"/>
    </sortState>
  </autoFilter>
  <conditionalFormatting sqref="L2:L506">
    <cfRule type="cellIs" dxfId="0" priority="1" operator="greaterThanOrEqual">
      <formula>0.5</formula>
    </cfRule>
  </conditionalFormatting>
  <conditionalFormatting sqref="L2:L506">
    <cfRule type="cellIs" dxfId="2" priority="2" operator="between">
      <formula>0.001</formula>
      <formula>0.499999</formula>
    </cfRule>
  </conditionalFormatting>
  <dataValidations>
    <dataValidation type="list" allowBlank="1" sqref="F2:F506">
      <formula1>"Brasil,Exterior"</formula1>
    </dataValidation>
    <dataValidation type="decimal" allowBlank="1" sqref="H2:I506">
      <formula1>0.0</formula1>
      <formula2>100.0</formula2>
    </dataValidation>
    <dataValidation type="list" allowBlank="1" sqref="A2:A506">
      <formula1>'Resumo por docente'!$A$8:$A$57</formula1>
    </dataValidation>
    <dataValidation type="list" allowBlank="1" sqref="G2:G506">
      <formula1>"WoS,Scopus,Dimensions"</formula1>
    </dataValidation>
    <dataValidation type="list" allowBlank="1" showErrorMessage="1" sqref="C2:C506">
      <formula1>"2026,2025,2024,2023,2022,2021"</formula1>
    </dataValidation>
    <dataValidation type="decimal" allowBlank="1" sqref="J2:J506 M2:M506">
      <formula1>0.0</formula1>
      <formula2>1000.0</formula2>
    </dataValidation>
    <dataValidation type="list" allowBlank="1" sqref="N2:O506">
      <formula1>"sim,não"</formula1>
    </dataValidation>
  </dataValidations>
  <hyperlinks>
    <hyperlink r:id="rId2" ref="E2"/>
    <hyperlink r:id="rId3" ref="E3"/>
    <hyperlink r:id="rId4" ref="E4"/>
    <hyperlink r:id="rId5" ref="E5"/>
    <hyperlink r:id="rId6" ref="E6"/>
    <hyperlink r:id="rId7" ref="E9"/>
    <hyperlink r:id="rId8" ref="E10"/>
    <hyperlink r:id="rId9" ref="E11"/>
    <hyperlink r:id="rId10" ref="E12"/>
    <hyperlink r:id="rId11" ref="E13"/>
    <hyperlink r:id="rId12" ref="E14"/>
    <hyperlink r:id="rId13" ref="E15"/>
    <hyperlink r:id="rId14" ref="E16"/>
    <hyperlink r:id="rId15" ref="E17"/>
    <hyperlink r:id="rId16" ref="E18"/>
    <hyperlink r:id="rId17" ref="E19"/>
    <hyperlink r:id="rId18" ref="E20"/>
    <hyperlink r:id="rId19" ref="E21"/>
    <hyperlink r:id="rId20" ref="E22"/>
    <hyperlink r:id="rId21" ref="E23"/>
    <hyperlink r:id="rId22" ref="E24"/>
    <hyperlink r:id="rId23" ref="E25"/>
    <hyperlink r:id="rId24" ref="E27"/>
    <hyperlink r:id="rId25" ref="E28"/>
    <hyperlink r:id="rId26" ref="E29"/>
    <hyperlink r:id="rId27" ref="E30"/>
    <hyperlink r:id="rId28" ref="E31"/>
    <hyperlink r:id="rId29" ref="E33"/>
    <hyperlink r:id="rId30" ref="E34"/>
    <hyperlink r:id="rId31" ref="E35"/>
    <hyperlink r:id="rId32" ref="E36"/>
    <hyperlink r:id="rId33" ref="E37"/>
    <hyperlink r:id="rId34" ref="E38"/>
    <hyperlink r:id="rId35" ref="E39"/>
    <hyperlink r:id="rId36" ref="E41"/>
    <hyperlink r:id="rId37" ref="E42"/>
    <hyperlink r:id="rId38" ref="E43"/>
    <hyperlink r:id="rId39" ref="E44"/>
    <hyperlink r:id="rId40" ref="E45"/>
    <hyperlink r:id="rId41" ref="E47"/>
    <hyperlink r:id="rId42" ref="E48"/>
    <hyperlink r:id="rId43" ref="E49"/>
    <hyperlink r:id="rId44" ref="E50"/>
    <hyperlink r:id="rId45" ref="E51"/>
    <hyperlink r:id="rId46" ref="E52"/>
    <hyperlink r:id="rId47" ref="E53"/>
    <hyperlink r:id="rId48" ref="E54"/>
    <hyperlink r:id="rId49" ref="E55"/>
    <hyperlink r:id="rId50" ref="E56"/>
    <hyperlink r:id="rId51" ref="E57"/>
    <hyperlink r:id="rId52" ref="E58"/>
    <hyperlink r:id="rId53" ref="E59"/>
    <hyperlink r:id="rId54" ref="E60"/>
    <hyperlink r:id="rId55" ref="E62"/>
    <hyperlink r:id="rId56" ref="E63"/>
    <hyperlink r:id="rId57" ref="E64"/>
    <hyperlink r:id="rId58" ref="E65"/>
    <hyperlink r:id="rId59" ref="E66"/>
    <hyperlink r:id="rId60" ref="E67"/>
    <hyperlink r:id="rId61" ref="E68"/>
    <hyperlink r:id="rId62" ref="E69"/>
    <hyperlink r:id="rId63" ref="E70"/>
    <hyperlink r:id="rId64" ref="E71"/>
    <hyperlink r:id="rId65" ref="E72"/>
    <hyperlink r:id="rId66" ref="E73"/>
    <hyperlink r:id="rId67" ref="E74"/>
    <hyperlink r:id="rId68" ref="E75"/>
    <hyperlink r:id="rId69" ref="E76"/>
    <hyperlink r:id="rId70" ref="E77"/>
    <hyperlink r:id="rId71" ref="E78"/>
    <hyperlink r:id="rId72" ref="E79"/>
    <hyperlink r:id="rId73" ref="E80"/>
    <hyperlink r:id="rId74" ref="E81"/>
    <hyperlink r:id="rId75" ref="E82"/>
    <hyperlink r:id="rId76" ref="E83"/>
    <hyperlink r:id="rId77" ref="E84"/>
    <hyperlink r:id="rId78" ref="E85"/>
    <hyperlink r:id="rId79" ref="E86"/>
    <hyperlink r:id="rId80" ref="E87"/>
    <hyperlink r:id="rId81" ref="E88"/>
    <hyperlink r:id="rId82" ref="E89"/>
    <hyperlink r:id="rId83" ref="E90"/>
    <hyperlink r:id="rId84" ref="E91"/>
    <hyperlink r:id="rId85" ref="E92"/>
    <hyperlink r:id="rId86" ref="E93"/>
    <hyperlink r:id="rId87" ref="E94"/>
    <hyperlink r:id="rId88" ref="E95"/>
    <hyperlink r:id="rId89" ref="E96"/>
    <hyperlink r:id="rId90" ref="E97"/>
    <hyperlink r:id="rId91" ref="E98"/>
    <hyperlink r:id="rId92" ref="E99"/>
    <hyperlink r:id="rId93" ref="E100"/>
    <hyperlink r:id="rId94" ref="E101"/>
    <hyperlink r:id="rId95" ref="E102"/>
    <hyperlink r:id="rId96" ref="E103"/>
    <hyperlink r:id="rId97" ref="E105"/>
    <hyperlink r:id="rId98" ref="E106"/>
    <hyperlink r:id="rId99" ref="E107"/>
    <hyperlink r:id="rId100" ref="E108"/>
    <hyperlink r:id="rId101" ref="E109"/>
    <hyperlink r:id="rId102" ref="E110"/>
    <hyperlink r:id="rId103" ref="E111"/>
    <hyperlink r:id="rId104" ref="E112"/>
    <hyperlink r:id="rId105" ref="E113"/>
    <hyperlink r:id="rId106" ref="E114"/>
    <hyperlink r:id="rId107" ref="E115"/>
    <hyperlink r:id="rId108" ref="E117"/>
    <hyperlink r:id="rId109" ref="E118"/>
    <hyperlink r:id="rId110" ref="E119"/>
    <hyperlink r:id="rId111" ref="E120"/>
    <hyperlink r:id="rId112" ref="E121"/>
    <hyperlink r:id="rId113" ref="E122"/>
    <hyperlink r:id="rId114" ref="E123"/>
    <hyperlink r:id="rId115" ref="E124"/>
    <hyperlink r:id="rId116" ref="E125"/>
    <hyperlink r:id="rId117" ref="E126"/>
    <hyperlink r:id="rId118" ref="E127"/>
    <hyperlink r:id="rId119" ref="E128"/>
    <hyperlink r:id="rId120" ref="E129"/>
    <hyperlink r:id="rId121" ref="E130"/>
    <hyperlink r:id="rId122" ref="E131"/>
    <hyperlink r:id="rId123" ref="E132"/>
    <hyperlink r:id="rId124" ref="E133"/>
    <hyperlink r:id="rId125" ref="E134"/>
    <hyperlink r:id="rId126" ref="E135"/>
    <hyperlink r:id="rId127" ref="E136"/>
    <hyperlink r:id="rId128" ref="E137"/>
    <hyperlink r:id="rId129" ref="E138"/>
    <hyperlink r:id="rId130" ref="E139"/>
    <hyperlink r:id="rId131" ref="E140"/>
    <hyperlink r:id="rId132" ref="E141"/>
    <hyperlink r:id="rId133" ref="E142"/>
    <hyperlink r:id="rId134" ref="E143"/>
    <hyperlink r:id="rId135" ref="E144"/>
    <hyperlink r:id="rId136" ref="E145"/>
    <hyperlink r:id="rId137" ref="E146"/>
    <hyperlink r:id="rId138" ref="E148"/>
    <hyperlink r:id="rId139" ref="E149"/>
    <hyperlink r:id="rId140" ref="E150"/>
    <hyperlink r:id="rId141" ref="E152"/>
    <hyperlink r:id="rId142" ref="E153"/>
    <hyperlink r:id="rId143" ref="E154"/>
    <hyperlink r:id="rId144" ref="E155"/>
  </hyperlinks>
  <printOptions/>
  <pageMargins bottom="0.75" footer="0.0" header="0.0" left="0.7" right="0.7" top="0.75"/>
  <pageSetup orientation="landscape"/>
  <drawing r:id="rId145"/>
  <legacyDrawing r:id="rId14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695C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4.88"/>
    <col customWidth="1" min="2" max="2" width="39.0"/>
    <col customWidth="1" min="3" max="3" width="19.5"/>
    <col customWidth="1" min="4" max="4" width="7.25"/>
    <col customWidth="1" min="5" max="5" width="25.0"/>
    <col customWidth="1" min="6" max="6" width="46.88"/>
    <col customWidth="1" min="7" max="7" width="19.13"/>
    <col customWidth="1" min="8" max="8" width="26.75"/>
    <col customWidth="1" min="9" max="9" width="31.13"/>
    <col customWidth="1" min="10" max="10" width="36.63"/>
    <col customWidth="1" min="11" max="11" width="40.0"/>
    <col customWidth="1" min="12" max="12" width="16.63"/>
    <col customWidth="1" min="13" max="13" width="21.13"/>
    <col customWidth="1" min="14" max="14" width="24.5"/>
    <col customWidth="1" min="15" max="15" width="22.25"/>
    <col customWidth="1" min="16" max="16" width="18.88"/>
    <col customWidth="1" min="17" max="17" width="26.63"/>
    <col customWidth="1" min="18" max="18" width="28.88"/>
    <col customWidth="1" min="19" max="19" width="26.13"/>
    <col customWidth="1" min="20" max="20" width="24.5"/>
    <col customWidth="1" min="21" max="21" width="9.5"/>
    <col customWidth="1" min="22" max="23" width="15.0"/>
    <col customWidth="1" min="24" max="24" width="25.13"/>
    <col customWidth="1" min="25" max="26" width="8.63"/>
  </cols>
  <sheetData>
    <row r="1" ht="51.0" customHeight="1">
      <c r="A1" s="5" t="s">
        <v>7</v>
      </c>
      <c r="B1" s="5" t="s">
        <v>12</v>
      </c>
      <c r="C1" s="5" t="s">
        <v>178</v>
      </c>
      <c r="D1" s="5" t="s">
        <v>15</v>
      </c>
      <c r="E1" s="49" t="s">
        <v>179</v>
      </c>
      <c r="F1" s="5" t="s">
        <v>180</v>
      </c>
      <c r="G1" s="5" t="s">
        <v>181</v>
      </c>
      <c r="H1" s="49" t="s">
        <v>182</v>
      </c>
      <c r="I1" s="5" t="s">
        <v>183</v>
      </c>
      <c r="J1" s="5" t="s">
        <v>184</v>
      </c>
      <c r="K1" s="5" t="s">
        <v>185</v>
      </c>
      <c r="L1" s="5" t="s">
        <v>186</v>
      </c>
      <c r="M1" s="5" t="s">
        <v>187</v>
      </c>
      <c r="N1" s="5" t="s">
        <v>188</v>
      </c>
      <c r="O1" s="5" t="s">
        <v>189</v>
      </c>
      <c r="P1" s="5" t="s">
        <v>190</v>
      </c>
      <c r="Q1" s="5" t="s">
        <v>191</v>
      </c>
      <c r="R1" s="5" t="s">
        <v>192</v>
      </c>
      <c r="S1" s="5" t="s">
        <v>193</v>
      </c>
      <c r="T1" s="5" t="s">
        <v>194</v>
      </c>
      <c r="U1" s="5" t="s">
        <v>46</v>
      </c>
      <c r="V1" s="5" t="s">
        <v>195</v>
      </c>
      <c r="W1" s="5" t="s">
        <v>196</v>
      </c>
      <c r="X1" s="49" t="s">
        <v>197</v>
      </c>
    </row>
    <row r="2" ht="39.0" customHeight="1">
      <c r="A2" s="24" t="s">
        <v>199</v>
      </c>
      <c r="B2" s="28" t="str">
        <f>IF($A2="","",IFERROR(VLOOKUP($A2,'Resumo por docente'!$A$8:$B$57,2,FALSE),""))</f>
        <v>Inovação, Biotecnologia e Sustentabilidade Produtiva</v>
      </c>
      <c r="C2" s="44" t="s">
        <v>202</v>
      </c>
      <c r="D2" s="51">
        <v>2025.0</v>
      </c>
      <c r="E2" s="44" t="s">
        <v>205</v>
      </c>
      <c r="F2" s="24" t="s">
        <v>206</v>
      </c>
      <c r="G2" s="44" t="s">
        <v>208</v>
      </c>
      <c r="H2" s="44" t="s">
        <v>209</v>
      </c>
      <c r="I2" s="24" t="s">
        <v>210</v>
      </c>
      <c r="J2" s="24" t="s">
        <v>211</v>
      </c>
      <c r="K2" s="24" t="s">
        <v>212</v>
      </c>
      <c r="L2" s="24" t="s">
        <v>213</v>
      </c>
      <c r="M2" s="24" t="s">
        <v>214</v>
      </c>
      <c r="N2" s="24" t="s">
        <v>215</v>
      </c>
      <c r="O2" s="24" t="s">
        <v>216</v>
      </c>
      <c r="P2" s="24" t="s">
        <v>217</v>
      </c>
      <c r="Q2" s="24" t="s">
        <v>218</v>
      </c>
      <c r="R2" s="24" t="s">
        <v>219</v>
      </c>
      <c r="S2" s="35" t="s">
        <v>220</v>
      </c>
      <c r="T2" s="35" t="s">
        <v>220</v>
      </c>
      <c r="U2" s="24" t="s">
        <v>177</v>
      </c>
      <c r="V2" s="24" t="s">
        <v>177</v>
      </c>
      <c r="W2" s="48" t="str">
        <f>IF($A2="","",IF(OR($C2="",$D2="",$E2="",$F2=""),"INCOMPLETO",IF(OR($D2&lt;2021,$D2&gt;2026),"ANO FORA DA JANELA",IF(OR(LOWER($U2)&lt;&gt;"sim",LOWER($V2)&lt;&gt;"sim",$G2="",$H2="",$J2="",$K2="",$M2="",$N2="",$Q2="",$R2="",$S2=""),"INCOMPLETO",IF(LEFT($C2,3)="PTT",IF(COUNTIF('Estratos e PTTs'!$B$15:$B$30,$E2)=0,"TIPO PTT INVÁLIDO","OK"),"OK")))))</f>
        <v>OK</v>
      </c>
      <c r="X2" s="52"/>
    </row>
    <row r="3" ht="33.75" customHeight="1">
      <c r="A3" s="24" t="s">
        <v>199</v>
      </c>
      <c r="B3" s="28" t="str">
        <f>IF($A3="","",IFERROR(VLOOKUP($A3,'Resumo por docente'!$A$8:$B$57,2,FALSE),""))</f>
        <v>Inovação, Biotecnologia e Sustentabilidade Produtiva</v>
      </c>
      <c r="C3" s="44" t="s">
        <v>227</v>
      </c>
      <c r="D3" s="51">
        <v>2025.0</v>
      </c>
      <c r="E3" s="44" t="s">
        <v>205</v>
      </c>
      <c r="F3" s="24" t="s">
        <v>228</v>
      </c>
      <c r="G3" s="44" t="s">
        <v>208</v>
      </c>
      <c r="H3" s="44" t="s">
        <v>209</v>
      </c>
      <c r="I3" s="24" t="s">
        <v>229</v>
      </c>
      <c r="J3" s="24" t="s">
        <v>230</v>
      </c>
      <c r="K3" s="24" t="s">
        <v>212</v>
      </c>
      <c r="L3" s="24" t="s">
        <v>213</v>
      </c>
      <c r="M3" s="24" t="s">
        <v>214</v>
      </c>
      <c r="N3" s="24" t="s">
        <v>215</v>
      </c>
      <c r="O3" s="24" t="s">
        <v>216</v>
      </c>
      <c r="P3" s="24" t="s">
        <v>217</v>
      </c>
      <c r="Q3" s="24" t="s">
        <v>218</v>
      </c>
      <c r="R3" s="24" t="s">
        <v>219</v>
      </c>
      <c r="S3" s="35" t="s">
        <v>231</v>
      </c>
      <c r="T3" s="35" t="s">
        <v>231</v>
      </c>
      <c r="U3" s="24" t="s">
        <v>177</v>
      </c>
      <c r="V3" s="24" t="s">
        <v>177</v>
      </c>
      <c r="W3" s="48" t="str">
        <f>IF($A3="","",IF(OR($C3="",$D3="",$E3="",$F3=""),"INCOMPLETO",IF(OR($D3&lt;2021,$D3&gt;2026),"ANO FORA DA JANELA",IF(OR(LOWER($U3)&lt;&gt;"sim",LOWER($V3)&lt;&gt;"sim",$G3="",$H3="",$J3="",$K3="",$M3="",$N3="",$Q3="",$R3="",$S3=""),"INCOMPLETO",IF(LEFT($C3,3)="PTT",IF(COUNTIF('Estratos e PTTs'!$B$15:$B$30,$E3)=0,"TIPO PTT INVÁLIDO","OK"),"OK")))))</f>
        <v>OK</v>
      </c>
      <c r="X3" s="52"/>
    </row>
    <row r="4" ht="26.25" customHeight="1">
      <c r="A4" s="24" t="s">
        <v>199</v>
      </c>
      <c r="B4" s="28" t="str">
        <f>IF($A4="","",IFERROR(VLOOKUP($A4,'Resumo por docente'!$A$8:$B$57,2,FALSE),""))</f>
        <v>Inovação, Biotecnologia e Sustentabilidade Produtiva</v>
      </c>
      <c r="C4" s="44" t="s">
        <v>234</v>
      </c>
      <c r="D4" s="51">
        <v>2025.0</v>
      </c>
      <c r="E4" s="44" t="s">
        <v>78</v>
      </c>
      <c r="F4" s="24" t="s">
        <v>235</v>
      </c>
      <c r="G4" s="44" t="s">
        <v>208</v>
      </c>
      <c r="H4" s="44" t="s">
        <v>236</v>
      </c>
      <c r="I4" s="24" t="s">
        <v>237</v>
      </c>
      <c r="J4" s="24" t="s">
        <v>238</v>
      </c>
      <c r="K4" s="24" t="s">
        <v>212</v>
      </c>
      <c r="L4" s="24" t="s">
        <v>239</v>
      </c>
      <c r="M4" s="24" t="s">
        <v>240</v>
      </c>
      <c r="N4" s="24" t="s">
        <v>241</v>
      </c>
      <c r="O4" s="24" t="s">
        <v>176</v>
      </c>
      <c r="P4" s="24" t="s">
        <v>176</v>
      </c>
      <c r="Q4" s="24" t="s">
        <v>242</v>
      </c>
      <c r="R4" s="24" t="s">
        <v>219</v>
      </c>
      <c r="S4" s="35" t="s">
        <v>244</v>
      </c>
      <c r="T4" s="35" t="s">
        <v>244</v>
      </c>
      <c r="U4" s="24" t="s">
        <v>177</v>
      </c>
      <c r="V4" s="24" t="s">
        <v>177</v>
      </c>
      <c r="W4" s="48" t="str">
        <f>IF($A4="","",IF(OR($C4="",$D4="",$E4="",$F4=""),"INCOMPLETO",IF(OR($D4&lt;2021,$D4&gt;2026),"ANO FORA DA JANELA",IF(OR(LOWER($U4)&lt;&gt;"sim",LOWER($V4)&lt;&gt;"sim",$G4="",$H4="",$J4="",$K4="",$M4="",$N4="",$Q4="",$R4="",$S4=""),"INCOMPLETO",IF(LEFT($C4,3)="PTT",IF(COUNTIF('Estratos e PTTs'!$B$15:$B$30,$E4)=0,"TIPO PTT INVÁLIDO","OK"),"OK")))))</f>
        <v>OK</v>
      </c>
      <c r="X4" s="52"/>
    </row>
    <row r="5">
      <c r="A5" s="24" t="s">
        <v>199</v>
      </c>
      <c r="B5" s="28" t="str">
        <f>IF($A5="","",IFERROR(VLOOKUP($A5,'Resumo por docente'!$A$8:$B$57,2,FALSE),""))</f>
        <v>Inovação, Biotecnologia e Sustentabilidade Produtiva</v>
      </c>
      <c r="C5" s="44" t="s">
        <v>248</v>
      </c>
      <c r="D5" s="51">
        <v>2026.0</v>
      </c>
      <c r="E5" s="44" t="s">
        <v>78</v>
      </c>
      <c r="F5" s="24" t="s">
        <v>249</v>
      </c>
      <c r="G5" s="44" t="s">
        <v>208</v>
      </c>
      <c r="H5" s="44" t="s">
        <v>236</v>
      </c>
      <c r="I5" s="24" t="s">
        <v>252</v>
      </c>
      <c r="J5" s="24" t="s">
        <v>253</v>
      </c>
      <c r="K5" s="24" t="s">
        <v>254</v>
      </c>
      <c r="L5" s="24" t="s">
        <v>213</v>
      </c>
      <c r="M5" s="24" t="s">
        <v>255</v>
      </c>
      <c r="N5" s="24" t="s">
        <v>256</v>
      </c>
      <c r="O5" s="24" t="s">
        <v>176</v>
      </c>
      <c r="P5" s="24" t="s">
        <v>176</v>
      </c>
      <c r="Q5" s="24" t="s">
        <v>242</v>
      </c>
      <c r="R5" s="24" t="s">
        <v>219</v>
      </c>
      <c r="S5" s="35" t="s">
        <v>257</v>
      </c>
      <c r="T5" s="35" t="s">
        <v>257</v>
      </c>
      <c r="U5" s="24" t="s">
        <v>177</v>
      </c>
      <c r="V5" s="24" t="s">
        <v>177</v>
      </c>
      <c r="W5" s="48" t="str">
        <f>IF($A5="","",IF(OR($C5="",$D5="",$E5="",$F5=""),"INCOMPLETO",IF(OR($D5&lt;2021,$D5&gt;2026),"ANO FORA DA JANELA",IF(OR(LOWER($U5)&lt;&gt;"sim",LOWER($V5)&lt;&gt;"sim",$G5="",$H5="",$J5="",$K5="",$M5="",$N5="",$Q5="",$R5="",$S5=""),"INCOMPLETO",IF(LEFT($C5,3)="PTT",IF(COUNTIF('Estratos e PTTs'!$B$15:$B$30,$E5)=0,"TIPO PTT INVÁLIDO","OK"),"OK")))))</f>
        <v>OK</v>
      </c>
      <c r="X5" s="52"/>
    </row>
    <row r="6">
      <c r="A6" s="24" t="s">
        <v>199</v>
      </c>
      <c r="B6" s="28" t="str">
        <f>IF($A6="","",IFERROR(VLOOKUP($A6,'Resumo por docente'!$A$8:$B$57,2,FALSE),""))</f>
        <v>Inovação, Biotecnologia e Sustentabilidade Produtiva</v>
      </c>
      <c r="C6" s="44" t="s">
        <v>263</v>
      </c>
      <c r="D6" s="51">
        <v>2025.0</v>
      </c>
      <c r="E6" s="44" t="s">
        <v>78</v>
      </c>
      <c r="F6" s="24" t="s">
        <v>264</v>
      </c>
      <c r="G6" s="44" t="s">
        <v>208</v>
      </c>
      <c r="H6" s="44" t="s">
        <v>209</v>
      </c>
      <c r="I6" s="24" t="s">
        <v>265</v>
      </c>
      <c r="J6" s="24" t="s">
        <v>266</v>
      </c>
      <c r="K6" s="24" t="s">
        <v>267</v>
      </c>
      <c r="L6" s="24" t="s">
        <v>239</v>
      </c>
      <c r="M6" s="24" t="s">
        <v>240</v>
      </c>
      <c r="N6" s="24" t="s">
        <v>241</v>
      </c>
      <c r="O6" s="24" t="s">
        <v>176</v>
      </c>
      <c r="P6" s="24" t="s">
        <v>176</v>
      </c>
      <c r="Q6" s="24" t="s">
        <v>242</v>
      </c>
      <c r="R6" s="24" t="s">
        <v>219</v>
      </c>
      <c r="S6" s="35" t="s">
        <v>268</v>
      </c>
      <c r="T6" s="35" t="s">
        <v>268</v>
      </c>
      <c r="U6" s="24" t="s">
        <v>177</v>
      </c>
      <c r="V6" s="24" t="s">
        <v>177</v>
      </c>
      <c r="W6" s="48" t="str">
        <f>IF($A6="","",IF(OR($C6="",$D6="",$E6="",$F6=""),"INCOMPLETO",IF(OR($D6&lt;2021,$D6&gt;2026),"ANO FORA DA JANELA",IF(OR(LOWER($U6)&lt;&gt;"sim",LOWER($V6)&lt;&gt;"sim",$G6="",$H6="",$J6="",$K6="",$M6="",$N6="",$Q6="",$R6="",$S6=""),"INCOMPLETO",IF(LEFT($C6,3)="PTT",IF(COUNTIF('Estratos e PTTs'!$B$15:$B$30,$E6)=0,"TIPO PTT INVÁLIDO","OK"),"OK")))))</f>
        <v>OK</v>
      </c>
      <c r="X6" s="52"/>
    </row>
    <row r="7">
      <c r="A7" s="24" t="s">
        <v>174</v>
      </c>
      <c r="B7" s="28" t="str">
        <f>IF($A7="","",IFERROR(VLOOKUP($A7,'Resumo por docente'!$A$8:$B$57,2,FALSE),""))</f>
        <v>Biodiversidade, Saúde Ambiental e Conservação</v>
      </c>
      <c r="C7" s="44" t="s">
        <v>202</v>
      </c>
      <c r="D7" s="51">
        <v>2026.0</v>
      </c>
      <c r="E7" s="44" t="s">
        <v>78</v>
      </c>
      <c r="F7" s="24" t="s">
        <v>274</v>
      </c>
      <c r="G7" s="44" t="s">
        <v>208</v>
      </c>
      <c r="H7" s="44" t="s">
        <v>209</v>
      </c>
      <c r="I7" s="24" t="s">
        <v>275</v>
      </c>
      <c r="J7" s="24" t="s">
        <v>276</v>
      </c>
      <c r="K7" s="24" t="s">
        <v>277</v>
      </c>
      <c r="L7" s="54">
        <v>15.0</v>
      </c>
      <c r="M7" s="24" t="s">
        <v>278</v>
      </c>
      <c r="N7" s="24" t="s">
        <v>279</v>
      </c>
      <c r="O7" s="24" t="s">
        <v>280</v>
      </c>
      <c r="P7" s="24" t="s">
        <v>176</v>
      </c>
      <c r="Q7" s="24" t="s">
        <v>242</v>
      </c>
      <c r="R7" s="24"/>
      <c r="S7" s="35" t="s">
        <v>281</v>
      </c>
      <c r="T7" s="35" t="s">
        <v>281</v>
      </c>
      <c r="U7" s="24" t="s">
        <v>177</v>
      </c>
      <c r="V7" s="52"/>
      <c r="W7" s="48" t="str">
        <f>IF($A7="","",IF(OR($C7="",$D7="",$E7="",$F7=""),"INCOMPLETO",IF(OR($D7&lt;2021,$D7&gt;2026),"ANO FORA DA JANELA",IF(OR(LOWER($U7)&lt;&gt;"sim",LOWER($V7)&lt;&gt;"sim",$G7="",$H7="",$J7="",$K7="",$M7="",$N7="",$Q7="",$R7="",$S7=""),"INCOMPLETO",IF(LEFT($C7,3)="PTT",IF(COUNTIF('Estratos e PTTs'!$B$15:$B$30,$E7)=0,"TIPO PTT INVÁLIDO","OK"),"OK")))))</f>
        <v>INCOMPLETO</v>
      </c>
      <c r="X7" s="52"/>
    </row>
    <row r="8">
      <c r="A8" s="24" t="s">
        <v>286</v>
      </c>
      <c r="B8" s="28" t="str">
        <f>IF($A8="","",IFERROR(VLOOKUP($A8,'Resumo por docente'!$A$8:$B$57,2,FALSE),""))</f>
        <v>Inovação, Biotecnologia e Sustentabilidade Produtiva</v>
      </c>
      <c r="C8" s="44" t="s">
        <v>202</v>
      </c>
      <c r="D8" s="51">
        <v>2021.0</v>
      </c>
      <c r="E8" s="44" t="s">
        <v>78</v>
      </c>
      <c r="F8" s="24" t="s">
        <v>288</v>
      </c>
      <c r="G8" s="44" t="s">
        <v>289</v>
      </c>
      <c r="H8" s="44" t="s">
        <v>236</v>
      </c>
      <c r="I8" s="24" t="s">
        <v>290</v>
      </c>
      <c r="J8" s="24" t="s">
        <v>291</v>
      </c>
      <c r="K8" s="24" t="s">
        <v>212</v>
      </c>
      <c r="L8" s="24" t="s">
        <v>292</v>
      </c>
      <c r="M8" s="24" t="s">
        <v>214</v>
      </c>
      <c r="N8" s="24" t="s">
        <v>293</v>
      </c>
      <c r="O8" s="24" t="s">
        <v>294</v>
      </c>
      <c r="P8" s="24" t="s">
        <v>176</v>
      </c>
      <c r="Q8" s="24" t="s">
        <v>242</v>
      </c>
      <c r="R8" s="24" t="s">
        <v>219</v>
      </c>
      <c r="S8" s="55" t="s">
        <v>295</v>
      </c>
      <c r="T8" s="55" t="s">
        <v>295</v>
      </c>
      <c r="U8" s="24" t="s">
        <v>177</v>
      </c>
      <c r="V8" s="24" t="s">
        <v>177</v>
      </c>
      <c r="W8" s="48" t="str">
        <f>IF($A8="","",IF(OR($C8="",$D8="",$E8="",$F8=""),"INCOMPLETO",IF(OR($D8&lt;2021,$D8&gt;2026),"ANO FORA DA JANELA",IF(OR(LOWER($U8)&lt;&gt;"sim",LOWER($V8)&lt;&gt;"sim",$G8="",$H8="",$J8="",$K8="",$M8="",$N8="",$Q8="",$R8="",$S8=""),"INCOMPLETO",IF(LEFT($C8,3)="PTT",IF(COUNTIF('Estratos e PTTs'!$B$15:$B$30,$E8)=0,"TIPO PTT INVÁLIDO","OK"),"OK")))))</f>
        <v>OK</v>
      </c>
      <c r="X8" s="52"/>
    </row>
    <row r="9">
      <c r="A9" s="24" t="s">
        <v>286</v>
      </c>
      <c r="B9" s="28" t="str">
        <f>IF($A9="","",IFERROR(VLOOKUP($A9,'Resumo por docente'!$A$8:$B$57,2,FALSE),""))</f>
        <v>Inovação, Biotecnologia e Sustentabilidade Produtiva</v>
      </c>
      <c r="C9" s="44" t="s">
        <v>227</v>
      </c>
      <c r="D9" s="51">
        <v>2020.0</v>
      </c>
      <c r="E9" s="44" t="s">
        <v>109</v>
      </c>
      <c r="F9" s="24" t="s">
        <v>301</v>
      </c>
      <c r="G9" s="44" t="s">
        <v>289</v>
      </c>
      <c r="H9" s="44" t="s">
        <v>236</v>
      </c>
      <c r="I9" s="24" t="s">
        <v>302</v>
      </c>
      <c r="J9" s="24" t="s">
        <v>303</v>
      </c>
      <c r="K9" s="24" t="s">
        <v>109</v>
      </c>
      <c r="L9" s="54">
        <v>12.0</v>
      </c>
      <c r="M9" s="24" t="s">
        <v>304</v>
      </c>
      <c r="N9" s="24" t="s">
        <v>293</v>
      </c>
      <c r="O9" s="24" t="s">
        <v>305</v>
      </c>
      <c r="P9" s="24" t="s">
        <v>176</v>
      </c>
      <c r="Q9" s="24" t="s">
        <v>242</v>
      </c>
      <c r="R9" s="24" t="s">
        <v>219</v>
      </c>
      <c r="S9" s="35" t="s">
        <v>308</v>
      </c>
      <c r="T9" s="35" t="s">
        <v>308</v>
      </c>
      <c r="U9" s="24" t="s">
        <v>177</v>
      </c>
      <c r="V9" s="24" t="s">
        <v>177</v>
      </c>
      <c r="W9" s="48" t="str">
        <f>IF($A9="","",IF(OR($C9="",$D9="",$E9="",$F9=""),"INCOMPLETO",IF(OR($D9&lt;2021,$D9&gt;2026),"ANO FORA DA JANELA",IF(OR(LOWER($U9)&lt;&gt;"sim",LOWER($V9)&lt;&gt;"sim",$G9="",$H9="",$J9="",$K9="",$M9="",$N9="",$Q9="",$R9="",$S9=""),"INCOMPLETO",IF(LEFT($C9,3)="PTT",IF(COUNTIF('Estratos e PTTs'!$B$15:$B$30,$E9)=0,"TIPO PTT INVÁLIDO","OK"),"OK")))))</f>
        <v>ANO FORA DA JANELA</v>
      </c>
      <c r="X9" s="52"/>
    </row>
    <row r="10">
      <c r="A10" s="24" t="s">
        <v>313</v>
      </c>
      <c r="B10" s="28" t="str">
        <f>IF($A10="","",IFERROR(VLOOKUP($A10,'Resumo por docente'!$A$8:$B$57,2,FALSE),""))</f>
        <v>Inovação, Biotecnologia e Sustentabilidade Produtiva</v>
      </c>
      <c r="C10" s="44" t="s">
        <v>202</v>
      </c>
      <c r="D10" s="51">
        <v>2025.0</v>
      </c>
      <c r="E10" s="44" t="s">
        <v>78</v>
      </c>
      <c r="F10" s="24" t="s">
        <v>317</v>
      </c>
      <c r="G10" s="44" t="s">
        <v>208</v>
      </c>
      <c r="H10" s="44" t="s">
        <v>236</v>
      </c>
      <c r="I10" s="24" t="s">
        <v>318</v>
      </c>
      <c r="J10" s="24" t="s">
        <v>319</v>
      </c>
      <c r="K10" s="24" t="s">
        <v>320</v>
      </c>
      <c r="L10" s="24" t="s">
        <v>321</v>
      </c>
      <c r="M10" s="24" t="s">
        <v>278</v>
      </c>
      <c r="N10" s="24" t="s">
        <v>322</v>
      </c>
      <c r="O10" s="24" t="s">
        <v>323</v>
      </c>
      <c r="P10" s="24" t="s">
        <v>176</v>
      </c>
      <c r="Q10" s="24" t="s">
        <v>242</v>
      </c>
      <c r="R10" s="24" t="s">
        <v>324</v>
      </c>
      <c r="S10" s="55" t="s">
        <v>325</v>
      </c>
      <c r="T10" s="55" t="s">
        <v>325</v>
      </c>
      <c r="U10" s="24" t="s">
        <v>177</v>
      </c>
      <c r="V10" s="24" t="s">
        <v>177</v>
      </c>
      <c r="W10" s="48" t="str">
        <f>IF($A10="","",IF(OR($C10="",$D10="",$E10="",$F10=""),"INCOMPLETO",IF(OR($D10&lt;2021,$D10&gt;2026),"ANO FORA DA JANELA",IF(OR(LOWER($U10)&lt;&gt;"sim",LOWER($V10)&lt;&gt;"sim",$G10="",$H10="",$J10="",$K10="",$M10="",$N10="",$Q10="",$R10="",$S10=""),"INCOMPLETO",IF(LEFT($C10,3)="PTT",IF(COUNTIF('Estratos e PTTs'!$B$15:$B$30,$E10)=0,"TIPO PTT INVÁLIDO","OK"),"OK")))))</f>
        <v>OK</v>
      </c>
      <c r="X10" s="52"/>
    </row>
    <row r="11">
      <c r="A11" s="24" t="s">
        <v>313</v>
      </c>
      <c r="B11" s="28" t="str">
        <f>IF($A11="","",IFERROR(VLOOKUP($A11,'Resumo por docente'!$A$8:$B$57,2,FALSE),""))</f>
        <v>Inovação, Biotecnologia e Sustentabilidade Produtiva</v>
      </c>
      <c r="C11" s="44" t="s">
        <v>227</v>
      </c>
      <c r="D11" s="51">
        <v>2026.0</v>
      </c>
      <c r="E11" s="44" t="s">
        <v>205</v>
      </c>
      <c r="F11" s="24" t="s">
        <v>329</v>
      </c>
      <c r="G11" s="44" t="s">
        <v>208</v>
      </c>
      <c r="H11" s="44" t="s">
        <v>236</v>
      </c>
      <c r="I11" s="24" t="s">
        <v>330</v>
      </c>
      <c r="J11" s="24" t="s">
        <v>332</v>
      </c>
      <c r="K11" s="24" t="s">
        <v>334</v>
      </c>
      <c r="L11" s="24" t="s">
        <v>321</v>
      </c>
      <c r="M11" s="24" t="s">
        <v>278</v>
      </c>
      <c r="N11" s="24" t="s">
        <v>335</v>
      </c>
      <c r="O11" s="24" t="s">
        <v>323</v>
      </c>
      <c r="P11" s="24" t="s">
        <v>176</v>
      </c>
      <c r="Q11" s="24" t="s">
        <v>242</v>
      </c>
      <c r="R11" s="24" t="s">
        <v>219</v>
      </c>
      <c r="S11" s="55" t="s">
        <v>336</v>
      </c>
      <c r="T11" s="55" t="s">
        <v>336</v>
      </c>
      <c r="U11" s="24" t="s">
        <v>177</v>
      </c>
      <c r="V11" s="24" t="s">
        <v>177</v>
      </c>
      <c r="W11" s="48" t="str">
        <f>IF($A11="","",IF(OR($C11="",$D11="",$E11="",$F11=""),"INCOMPLETO",IF(OR($D11&lt;2021,$D11&gt;2026),"ANO FORA DA JANELA",IF(OR(LOWER($U11)&lt;&gt;"sim",LOWER($V11)&lt;&gt;"sim",$G11="",$H11="",$J11="",$K11="",$M11="",$N11="",$Q11="",$R11="",$S11=""),"INCOMPLETO",IF(LEFT($C11,3)="PTT",IF(COUNTIF('Estratos e PTTs'!$B$15:$B$30,$E11)=0,"TIPO PTT INVÁLIDO","OK"),"OK")))))</f>
        <v>OK</v>
      </c>
      <c r="X11" s="52"/>
    </row>
    <row r="12">
      <c r="A12" s="52"/>
      <c r="B12" s="28" t="str">
        <f>IF($A12="","",IFERROR(VLOOKUP($A12,'Resumo por docente'!$A$8:$B$57,2,FALSE),""))</f>
        <v/>
      </c>
      <c r="C12" s="38"/>
      <c r="D12" s="57"/>
      <c r="E12" s="38"/>
      <c r="F12" s="52"/>
      <c r="G12" s="38"/>
      <c r="H12" s="38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48" t="str">
        <f>IF($A12="","",IF(OR($C12="",$D12="",$E12="",$F12=""),"INCOMPLETO",IF(OR($D12&lt;2021,$D12&gt;2026),"ANO FORA DA JANELA",IF(OR(LOWER($U12)&lt;&gt;"sim",LOWER($V12)&lt;&gt;"sim",$G12="",$H12="",$J12="",$K12="",$M12="",$N12="",$Q12="",$R12="",$S12=""),"INCOMPLETO",IF(LEFT($C12,3)="PTT",IF(COUNTIF('Estratos e PTTs'!$B$15:$B$30,$E12)=0,"TIPO PTT INVÁLIDO","OK"),"OK")))))</f>
        <v/>
      </c>
      <c r="X12" s="52"/>
    </row>
    <row r="13">
      <c r="A13" s="52"/>
      <c r="B13" s="28" t="str">
        <f>IF($A13="","",IFERROR(VLOOKUP($A13,'Resumo por docente'!$A$8:$B$57,2,FALSE),""))</f>
        <v/>
      </c>
      <c r="C13" s="38"/>
      <c r="D13" s="57"/>
      <c r="E13" s="38"/>
      <c r="F13" s="52"/>
      <c r="G13" s="38"/>
      <c r="H13" s="38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24" t="s">
        <v>177</v>
      </c>
      <c r="V13" s="52"/>
      <c r="W13" s="48" t="str">
        <f>IF($A13="","",IF(OR($C13="",$D13="",$E13="",$F13=""),"INCOMPLETO",IF(OR($D13&lt;2021,$D13&gt;2026),"ANO FORA DA JANELA",IF(OR(LOWER($U13)&lt;&gt;"sim",LOWER($V13)&lt;&gt;"sim",$G13="",$H13="",$J13="",$K13="",$M13="",$N13="",$Q13="",$R13="",$S13=""),"INCOMPLETO",IF(LEFT($C13,3)="PTT",IF(COUNTIF('Estratos e PTTs'!$B$15:$B$30,$E13)=0,"TIPO PTT INVÁLIDO","OK"),"OK")))))</f>
        <v/>
      </c>
      <c r="X13" s="52"/>
    </row>
    <row r="14">
      <c r="A14" s="52"/>
      <c r="B14" s="28" t="str">
        <f>IF($A14="","",IFERROR(VLOOKUP($A14,'Resumo por docente'!$A$8:$B$57,2,FALSE),""))</f>
        <v/>
      </c>
      <c r="C14" s="38"/>
      <c r="D14" s="57"/>
      <c r="E14" s="38"/>
      <c r="F14" s="52"/>
      <c r="G14" s="38"/>
      <c r="H14" s="38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48" t="str">
        <f>IF($A14="","",IF(OR($C14="",$D14="",$E14="",$F14=""),"INCOMPLETO",IF(OR($D14&lt;2021,$D14&gt;2026),"ANO FORA DA JANELA",IF(OR(LOWER($U14)&lt;&gt;"sim",LOWER($V14)&lt;&gt;"sim",$G14="",$H14="",$J14="",$K14="",$M14="",$N14="",$Q14="",$R14="",$S14=""),"INCOMPLETO",IF(LEFT($C14,3)="PTT",IF(COUNTIF('Estratos e PTTs'!$B$15:$B$30,$E14)=0,"TIPO PTT INVÁLIDO","OK"),"OK")))))</f>
        <v/>
      </c>
      <c r="X14" s="52"/>
    </row>
    <row r="15">
      <c r="A15" s="52"/>
      <c r="B15" s="28" t="str">
        <f>IF($A15="","",IFERROR(VLOOKUP($A15,'Resumo por docente'!$A$8:$B$57,2,FALSE),""))</f>
        <v/>
      </c>
      <c r="C15" s="38"/>
      <c r="D15" s="57"/>
      <c r="E15" s="38"/>
      <c r="F15" s="52"/>
      <c r="G15" s="38"/>
      <c r="H15" s="38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48" t="str">
        <f>IF($A15="","",IF(OR($C15="",$D15="",$E15="",$F15=""),"INCOMPLETO",IF(OR($D15&lt;2021,$D15&gt;2026),"ANO FORA DA JANELA",IF(OR(LOWER($U15)&lt;&gt;"sim",LOWER($V15)&lt;&gt;"sim",$G15="",$H15="",$J15="",$K15="",$M15="",$N15="",$Q15="",$R15="",$S15=""),"INCOMPLETO",IF(LEFT($C15,3)="PTT",IF(COUNTIF('Estratos e PTTs'!$B$15:$B$30,$E15)=0,"TIPO PTT INVÁLIDO","OK"),"OK")))))</f>
        <v/>
      </c>
      <c r="X15" s="52"/>
    </row>
    <row r="16">
      <c r="A16" s="52"/>
      <c r="B16" s="28" t="str">
        <f>IF($A16="","",IFERROR(VLOOKUP($A16,'Resumo por docente'!$A$8:$B$57,2,FALSE),""))</f>
        <v/>
      </c>
      <c r="C16" s="38"/>
      <c r="D16" s="57"/>
      <c r="E16" s="38"/>
      <c r="F16" s="52"/>
      <c r="G16" s="38"/>
      <c r="H16" s="38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48" t="str">
        <f>IF($A16="","",IF(OR($C16="",$D16="",$E16="",$F16=""),"INCOMPLETO",IF(OR($D16&lt;2021,$D16&gt;2026),"ANO FORA DA JANELA",IF(OR(LOWER($U16)&lt;&gt;"sim",LOWER($V16)&lt;&gt;"sim",$G16="",$H16="",$J16="",$K16="",$M16="",$N16="",$Q16="",$R16="",$S16=""),"INCOMPLETO",IF(LEFT($C16,3)="PTT",IF(COUNTIF('Estratos e PTTs'!$B$15:$B$30,$E16)=0,"TIPO PTT INVÁLIDO","OK"),"OK")))))</f>
        <v/>
      </c>
      <c r="X16" s="52"/>
    </row>
    <row r="17">
      <c r="A17" s="52"/>
      <c r="B17" s="28" t="str">
        <f>IF($A17="","",IFERROR(VLOOKUP($A17,'Resumo por docente'!$A$8:$B$57,2,FALSE),""))</f>
        <v/>
      </c>
      <c r="C17" s="38"/>
      <c r="D17" s="57"/>
      <c r="E17" s="38"/>
      <c r="F17" s="52"/>
      <c r="G17" s="38"/>
      <c r="H17" s="38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48" t="str">
        <f>IF($A17="","",IF(OR($C17="",$D17="",$E17="",$F17=""),"INCOMPLETO",IF(OR($D17&lt;2021,$D17&gt;2026),"ANO FORA DA JANELA",IF(OR(LOWER($U17)&lt;&gt;"sim",LOWER($V17)&lt;&gt;"sim",$G17="",$H17="",$J17="",$K17="",$M17="",$N17="",$Q17="",$R17="",$S17=""),"INCOMPLETO",IF(LEFT($C17,3)="PTT",IF(COUNTIF('Estratos e PTTs'!$B$15:$B$30,$E17)=0,"TIPO PTT INVÁLIDO","OK"),"OK")))))</f>
        <v/>
      </c>
      <c r="X17" s="52"/>
    </row>
    <row r="18">
      <c r="A18" s="52"/>
      <c r="B18" s="28" t="str">
        <f>IF($A18="","",IFERROR(VLOOKUP($A18,'Resumo por docente'!$A$8:$B$57,2,FALSE),""))</f>
        <v/>
      </c>
      <c r="C18" s="38"/>
      <c r="D18" s="57"/>
      <c r="E18" s="38"/>
      <c r="F18" s="52"/>
      <c r="G18" s="38"/>
      <c r="H18" s="38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48" t="str">
        <f>IF($A18="","",IF(OR($C18="",$D18="",$E18="",$F18=""),"INCOMPLETO",IF(OR($D18&lt;2021,$D18&gt;2026),"ANO FORA DA JANELA",IF(OR(LOWER($U18)&lt;&gt;"sim",LOWER($V18)&lt;&gt;"sim",$G18="",$H18="",$J18="",$K18="",$M18="",$N18="",$Q18="",$R18="",$S18=""),"INCOMPLETO",IF(LEFT($C18,3)="PTT",IF(COUNTIF('Estratos e PTTs'!$B$15:$B$30,$E18)=0,"TIPO PTT INVÁLIDO","OK"),"OK")))))</f>
        <v/>
      </c>
      <c r="X18" s="52"/>
    </row>
    <row r="19">
      <c r="A19" s="52"/>
      <c r="B19" s="28" t="str">
        <f>IF($A19="","",IFERROR(VLOOKUP($A19,'Resumo por docente'!$A$8:$B$57,2,FALSE),""))</f>
        <v/>
      </c>
      <c r="C19" s="38"/>
      <c r="D19" s="57"/>
      <c r="E19" s="38"/>
      <c r="F19" s="52"/>
      <c r="G19" s="38"/>
      <c r="H19" s="38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48" t="str">
        <f>IF($A19="","",IF(OR($C19="",$D19="",$E19="",$F19=""),"INCOMPLETO",IF(OR($D19&lt;2021,$D19&gt;2026),"ANO FORA DA JANELA",IF(OR(LOWER($U19)&lt;&gt;"sim",LOWER($V19)&lt;&gt;"sim",$G19="",$H19="",$J19="",$K19="",$M19="",$N19="",$Q19="",$R19="",$S19=""),"INCOMPLETO",IF(LEFT($C19,3)="PTT",IF(COUNTIF('Estratos e PTTs'!$B$15:$B$30,$E19)=0,"TIPO PTT INVÁLIDO","OK"),"OK")))))</f>
        <v/>
      </c>
      <c r="X19" s="52"/>
    </row>
    <row r="20">
      <c r="A20" s="52"/>
      <c r="B20" s="28" t="str">
        <f>IF($A20="","",IFERROR(VLOOKUP($A20,'Resumo por docente'!$A$8:$B$57,2,FALSE),""))</f>
        <v/>
      </c>
      <c r="C20" s="38"/>
      <c r="D20" s="57"/>
      <c r="E20" s="38"/>
      <c r="F20" s="52"/>
      <c r="G20" s="38"/>
      <c r="H20" s="38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48" t="str">
        <f>IF($A20="","",IF(OR($C20="",$D20="",$E20="",$F20=""),"INCOMPLETO",IF(OR($D20&lt;2021,$D20&gt;2026),"ANO FORA DA JANELA",IF(OR(LOWER($U20)&lt;&gt;"sim",LOWER($V20)&lt;&gt;"sim",$G20="",$H20="",$J20="",$K20="",$M20="",$N20="",$Q20="",$R20="",$S20=""),"INCOMPLETO",IF(LEFT($C20,3)="PTT",IF(COUNTIF('Estratos e PTTs'!$B$15:$B$30,$E20)=0,"TIPO PTT INVÁLIDO","OK"),"OK")))))</f>
        <v/>
      </c>
      <c r="X20" s="52"/>
    </row>
    <row r="21" ht="15.75" customHeight="1">
      <c r="A21" s="52"/>
      <c r="B21" s="28" t="str">
        <f>IF($A21="","",IFERROR(VLOOKUP($A21,'Resumo por docente'!$A$8:$B$57,2,FALSE),""))</f>
        <v/>
      </c>
      <c r="C21" s="38"/>
      <c r="D21" s="57"/>
      <c r="E21" s="38"/>
      <c r="F21" s="52"/>
      <c r="G21" s="38"/>
      <c r="H21" s="38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48" t="str">
        <f>IF($A21="","",IF(OR($C21="",$D21="",$E21="",$F21=""),"INCOMPLETO",IF(OR($D21&lt;2021,$D21&gt;2026),"ANO FORA DA JANELA",IF(OR(LOWER($U21)&lt;&gt;"sim",LOWER($V21)&lt;&gt;"sim",$G21="",$H21="",$J21="",$K21="",$M21="",$N21="",$Q21="",$R21="",$S21=""),"INCOMPLETO",IF(LEFT($C21,3)="PTT",IF(COUNTIF('Estratos e PTTs'!$B$15:$B$30,$E21)=0,"TIPO PTT INVÁLIDO","OK"),"OK")))))</f>
        <v/>
      </c>
      <c r="X21" s="52"/>
    </row>
    <row r="22" ht="15.75" customHeight="1">
      <c r="A22" s="52"/>
      <c r="B22" s="28" t="str">
        <f>IF($A22="","",IFERROR(VLOOKUP($A22,'Resumo por docente'!$A$8:$B$57,2,FALSE),""))</f>
        <v/>
      </c>
      <c r="C22" s="38"/>
      <c r="D22" s="57"/>
      <c r="E22" s="38"/>
      <c r="F22" s="52"/>
      <c r="G22" s="38"/>
      <c r="H22" s="38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48" t="str">
        <f>IF($A22="","",IF(OR($C22="",$D22="",$E22="",$F22=""),"INCOMPLETO",IF(OR($D22&lt;2021,$D22&gt;2026),"ANO FORA DA JANELA",IF(OR(LOWER($U22)&lt;&gt;"sim",LOWER($V22)&lt;&gt;"sim",$G22="",$H22="",$J22="",$K22="",$M22="",$N22="",$Q22="",$R22="",$S22=""),"INCOMPLETO",IF(LEFT($C22,3)="PTT",IF(COUNTIF('Estratos e PTTs'!$B$15:$B$30,$E22)=0,"TIPO PTT INVÁLIDO","OK"),"OK")))))</f>
        <v/>
      </c>
      <c r="X22" s="52"/>
    </row>
    <row r="23" ht="15.75" customHeight="1">
      <c r="A23" s="52"/>
      <c r="B23" s="28" t="str">
        <f>IF($A23="","",IFERROR(VLOOKUP($A23,'Resumo por docente'!$A$8:$B$57,2,FALSE),""))</f>
        <v/>
      </c>
      <c r="C23" s="38"/>
      <c r="D23" s="57"/>
      <c r="E23" s="38"/>
      <c r="F23" s="52"/>
      <c r="G23" s="38"/>
      <c r="H23" s="38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48" t="str">
        <f>IF($A23="","",IF(OR($C23="",$D23="",$E23="",$F23=""),"INCOMPLETO",IF(OR($D23&lt;2021,$D23&gt;2026),"ANO FORA DA JANELA",IF(OR(LOWER($U23)&lt;&gt;"sim",LOWER($V23)&lt;&gt;"sim",$G23="",$H23="",$J23="",$K23="",$M23="",$N23="",$Q23="",$R23="",$S23=""),"INCOMPLETO",IF(LEFT($C23,3)="PTT",IF(COUNTIF('Estratos e PTTs'!$B$15:$B$30,$E23)=0,"TIPO PTT INVÁLIDO","OK"),"OK")))))</f>
        <v/>
      </c>
      <c r="X23" s="52"/>
    </row>
    <row r="24" ht="15.75" customHeight="1">
      <c r="A24" s="52"/>
      <c r="B24" s="28" t="str">
        <f>IF($A24="","",IFERROR(VLOOKUP($A24,'Resumo por docente'!$A$8:$B$57,2,FALSE),""))</f>
        <v/>
      </c>
      <c r="C24" s="38"/>
      <c r="D24" s="57"/>
      <c r="E24" s="38"/>
      <c r="F24" s="52"/>
      <c r="G24" s="38"/>
      <c r="H24" s="38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48" t="str">
        <f>IF($A24="","",IF(OR($C24="",$D24="",$E24="",$F24=""),"INCOMPLETO",IF(OR($D24&lt;2021,$D24&gt;2026),"ANO FORA DA JANELA",IF(OR(LOWER($U24)&lt;&gt;"sim",LOWER($V24)&lt;&gt;"sim",$G24="",$H24="",$J24="",$K24="",$M24="",$N24="",$Q24="",$R24="",$S24=""),"INCOMPLETO",IF(LEFT($C24,3)="PTT",IF(COUNTIF('Estratos e PTTs'!$B$15:$B$30,$E24)=0,"TIPO PTT INVÁLIDO","OK"),"OK")))))</f>
        <v/>
      </c>
      <c r="X24" s="52"/>
    </row>
    <row r="25" ht="15.75" customHeight="1">
      <c r="A25" s="52"/>
      <c r="B25" s="28" t="str">
        <f>IF($A25="","",IFERROR(VLOOKUP($A25,'Resumo por docente'!$A$8:$B$57,2,FALSE),""))</f>
        <v/>
      </c>
      <c r="C25" s="38"/>
      <c r="D25" s="57"/>
      <c r="E25" s="38"/>
      <c r="F25" s="52"/>
      <c r="G25" s="38"/>
      <c r="H25" s="38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48" t="str">
        <f>IF($A25="","",IF(OR($C25="",$D25="",$E25="",$F25=""),"INCOMPLETO",IF(OR($D25&lt;2021,$D25&gt;2026),"ANO FORA DA JANELA",IF(OR(LOWER($U25)&lt;&gt;"sim",LOWER($V25)&lt;&gt;"sim",$G25="",$H25="",$J25="",$K25="",$M25="",$N25="",$Q25="",$R25="",$S25=""),"INCOMPLETO",IF(LEFT($C25,3)="PTT",IF(COUNTIF('Estratos e PTTs'!$B$15:$B$30,$E25)=0,"TIPO PTT INVÁLIDO","OK"),"OK")))))</f>
        <v/>
      </c>
      <c r="X25" s="52"/>
    </row>
    <row r="26" ht="15.75" customHeight="1">
      <c r="A26" s="52"/>
      <c r="B26" s="28" t="str">
        <f>IF($A26="","",IFERROR(VLOOKUP($A26,'Resumo por docente'!$A$8:$B$57,2,FALSE),""))</f>
        <v/>
      </c>
      <c r="C26" s="38"/>
      <c r="D26" s="57"/>
      <c r="E26" s="38"/>
      <c r="F26" s="52"/>
      <c r="G26" s="38"/>
      <c r="H26" s="38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48" t="str">
        <f>IF($A26="","",IF(OR($C26="",$D26="",$E26="",$F26=""),"INCOMPLETO",IF(OR($D26&lt;2021,$D26&gt;2026),"ANO FORA DA JANELA",IF(OR(LOWER($U26)&lt;&gt;"sim",LOWER($V26)&lt;&gt;"sim",$G26="",$H26="",$J26="",$K26="",$M26="",$N26="",$Q26="",$R26="",$S26=""),"INCOMPLETO",IF(LEFT($C26,3)="PTT",IF(COUNTIF('Estratos e PTTs'!$B$15:$B$30,$E26)=0,"TIPO PTT INVÁLIDO","OK"),"OK")))))</f>
        <v/>
      </c>
      <c r="X26" s="52"/>
    </row>
    <row r="27" ht="15.75" customHeight="1">
      <c r="A27" s="52"/>
      <c r="B27" s="28" t="str">
        <f>IF($A27="","",IFERROR(VLOOKUP($A27,'Resumo por docente'!$A$8:$B$57,2,FALSE),""))</f>
        <v/>
      </c>
      <c r="C27" s="38"/>
      <c r="D27" s="57"/>
      <c r="E27" s="38"/>
      <c r="F27" s="52"/>
      <c r="G27" s="38"/>
      <c r="H27" s="38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48" t="str">
        <f>IF($A27="","",IF(OR($C27="",$D27="",$E27="",$F27=""),"INCOMPLETO",IF(OR($D27&lt;2021,$D27&gt;2026),"ANO FORA DA JANELA",IF(OR(LOWER($U27)&lt;&gt;"sim",LOWER($V27)&lt;&gt;"sim",$G27="",$H27="",$J27="",$K27="",$M27="",$N27="",$Q27="",$R27="",$S27=""),"INCOMPLETO",IF(LEFT($C27,3)="PTT",IF(COUNTIF('Estratos e PTTs'!$B$15:$B$30,$E27)=0,"TIPO PTT INVÁLIDO","OK"),"OK")))))</f>
        <v/>
      </c>
      <c r="X27" s="52"/>
    </row>
    <row r="28" ht="15.75" customHeight="1">
      <c r="A28" s="52"/>
      <c r="B28" s="28" t="str">
        <f>IF($A28="","",IFERROR(VLOOKUP($A28,'Resumo por docente'!$A$8:$B$57,2,FALSE),""))</f>
        <v/>
      </c>
      <c r="C28" s="38"/>
      <c r="D28" s="57"/>
      <c r="E28" s="38"/>
      <c r="F28" s="52"/>
      <c r="G28" s="38"/>
      <c r="H28" s="38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48" t="str">
        <f>IF($A28="","",IF(OR($C28="",$D28="",$E28="",$F28=""),"INCOMPLETO",IF(OR($D28&lt;2021,$D28&gt;2026),"ANO FORA DA JANELA",IF(OR(LOWER($U28)&lt;&gt;"sim",LOWER($V28)&lt;&gt;"sim",$G28="",$H28="",$J28="",$K28="",$M28="",$N28="",$Q28="",$R28="",$S28=""),"INCOMPLETO",IF(LEFT($C28,3)="PTT",IF(COUNTIF('Estratos e PTTs'!$B$15:$B$30,$E28)=0,"TIPO PTT INVÁLIDO","OK"),"OK")))))</f>
        <v/>
      </c>
      <c r="X28" s="52"/>
    </row>
    <row r="29" ht="15.75" customHeight="1">
      <c r="A29" s="52"/>
      <c r="B29" s="28" t="str">
        <f>IF($A29="","",IFERROR(VLOOKUP($A29,'Resumo por docente'!$A$8:$B$57,2,FALSE),""))</f>
        <v/>
      </c>
      <c r="C29" s="38"/>
      <c r="D29" s="57"/>
      <c r="E29" s="38"/>
      <c r="F29" s="52"/>
      <c r="G29" s="38"/>
      <c r="H29" s="38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48" t="str">
        <f>IF($A29="","",IF(OR($C29="",$D29="",$E29="",$F29=""),"INCOMPLETO",IF(OR($D29&lt;2021,$D29&gt;2026),"ANO FORA DA JANELA",IF(OR(LOWER($U29)&lt;&gt;"sim",LOWER($V29)&lt;&gt;"sim",$G29="",$H29="",$J29="",$K29="",$M29="",$N29="",$Q29="",$R29="",$S29=""),"INCOMPLETO",IF(LEFT($C29,3)="PTT",IF(COUNTIF('Estratos e PTTs'!$B$15:$B$30,$E29)=0,"TIPO PTT INVÁLIDO","OK"),"OK")))))</f>
        <v/>
      </c>
      <c r="X29" s="52"/>
    </row>
    <row r="30" ht="15.75" customHeight="1">
      <c r="A30" s="52"/>
      <c r="B30" s="28" t="str">
        <f>IF($A30="","",IFERROR(VLOOKUP($A30,'Resumo por docente'!$A$8:$B$57,2,FALSE),""))</f>
        <v/>
      </c>
      <c r="C30" s="38"/>
      <c r="D30" s="57"/>
      <c r="E30" s="38"/>
      <c r="F30" s="52"/>
      <c r="G30" s="38"/>
      <c r="H30" s="38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48" t="str">
        <f>IF($A30="","",IF(OR($C30="",$D30="",$E30="",$F30=""),"INCOMPLETO",IF(OR($D30&lt;2021,$D30&gt;2026),"ANO FORA DA JANELA",IF(OR(LOWER($U30)&lt;&gt;"sim",LOWER($V30)&lt;&gt;"sim",$G30="",$H30="",$J30="",$K30="",$M30="",$N30="",$Q30="",$R30="",$S30=""),"INCOMPLETO",IF(LEFT($C30,3)="PTT",IF(COUNTIF('Estratos e PTTs'!$B$15:$B$30,$E30)=0,"TIPO PTT INVÁLIDO","OK"),"OK")))))</f>
        <v/>
      </c>
      <c r="X30" s="52"/>
    </row>
    <row r="31" ht="15.75" customHeight="1">
      <c r="A31" s="52"/>
      <c r="B31" s="28" t="str">
        <f>IF($A31="","",IFERROR(VLOOKUP($A31,'Resumo por docente'!$A$8:$B$57,2,FALSE),""))</f>
        <v/>
      </c>
      <c r="C31" s="38"/>
      <c r="D31" s="57"/>
      <c r="E31" s="38"/>
      <c r="F31" s="52"/>
      <c r="G31" s="38"/>
      <c r="H31" s="38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48" t="str">
        <f>IF($A31="","",IF(OR($C31="",$D31="",$E31="",$F31=""),"INCOMPLETO",IF(OR($D31&lt;2021,$D31&gt;2026),"ANO FORA DA JANELA",IF(OR(LOWER($U31)&lt;&gt;"sim",LOWER($V31)&lt;&gt;"sim",$G31="",$H31="",$J31="",$K31="",$M31="",$N31="",$Q31="",$R31="",$S31=""),"INCOMPLETO",IF(LEFT($C31,3)="PTT",IF(COUNTIF('Estratos e PTTs'!$B$15:$B$30,$E31)=0,"TIPO PTT INVÁLIDO","OK"),"OK")))))</f>
        <v/>
      </c>
      <c r="X31" s="52"/>
    </row>
    <row r="32" ht="15.75" customHeight="1">
      <c r="A32" s="52"/>
      <c r="B32" s="28" t="str">
        <f>IF($A32="","",IFERROR(VLOOKUP($A32,'Resumo por docente'!$A$8:$B$57,2,FALSE),""))</f>
        <v/>
      </c>
      <c r="C32" s="38"/>
      <c r="D32" s="57"/>
      <c r="E32" s="38"/>
      <c r="F32" s="52"/>
      <c r="G32" s="38"/>
      <c r="H32" s="38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48" t="str">
        <f>IF($A32="","",IF(OR($C32="",$D32="",$E32="",$F32=""),"INCOMPLETO",IF(OR($D32&lt;2021,$D32&gt;2026),"ANO FORA DA JANELA",IF(OR(LOWER($U32)&lt;&gt;"sim",LOWER($V32)&lt;&gt;"sim",$G32="",$H32="",$J32="",$K32="",$M32="",$N32="",$Q32="",$R32="",$S32=""),"INCOMPLETO",IF(LEFT($C32,3)="PTT",IF(COUNTIF('Estratos e PTTs'!$B$15:$B$30,$E32)=0,"TIPO PTT INVÁLIDO","OK"),"OK")))))</f>
        <v/>
      </c>
      <c r="X32" s="52"/>
    </row>
    <row r="33" ht="15.75" customHeight="1">
      <c r="A33" s="52"/>
      <c r="B33" s="28" t="str">
        <f>IF($A33="","",IFERROR(VLOOKUP($A33,'Resumo por docente'!$A$8:$B$57,2,FALSE),""))</f>
        <v/>
      </c>
      <c r="C33" s="38"/>
      <c r="D33" s="57"/>
      <c r="E33" s="38"/>
      <c r="F33" s="52"/>
      <c r="G33" s="38"/>
      <c r="H33" s="38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48" t="str">
        <f>IF($A33="","",IF(OR($C33="",$D33="",$E33="",$F33=""),"INCOMPLETO",IF(OR($D33&lt;2021,$D33&gt;2026),"ANO FORA DA JANELA",IF(OR(LOWER($U33)&lt;&gt;"sim",LOWER($V33)&lt;&gt;"sim",$G33="",$H33="",$J33="",$K33="",$M33="",$N33="",$Q33="",$R33="",$S33=""),"INCOMPLETO",IF(LEFT($C33,3)="PTT",IF(COUNTIF('Estratos e PTTs'!$B$15:$B$30,$E33)=0,"TIPO PTT INVÁLIDO","OK"),"OK")))))</f>
        <v/>
      </c>
      <c r="X33" s="52"/>
    </row>
    <row r="34" ht="15.75" customHeight="1">
      <c r="A34" s="52"/>
      <c r="B34" s="28" t="str">
        <f>IF($A34="","",IFERROR(VLOOKUP($A34,'Resumo por docente'!$A$8:$B$57,2,FALSE),""))</f>
        <v/>
      </c>
      <c r="C34" s="38"/>
      <c r="D34" s="57"/>
      <c r="E34" s="38"/>
      <c r="F34" s="52"/>
      <c r="G34" s="38"/>
      <c r="H34" s="38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48" t="str">
        <f>IF($A34="","",IF(OR($C34="",$D34="",$E34="",$F34=""),"INCOMPLETO",IF(OR($D34&lt;2021,$D34&gt;2026),"ANO FORA DA JANELA",IF(OR(LOWER($U34)&lt;&gt;"sim",LOWER($V34)&lt;&gt;"sim",$G34="",$H34="",$J34="",$K34="",$M34="",$N34="",$Q34="",$R34="",$S34=""),"INCOMPLETO",IF(LEFT($C34,3)="PTT",IF(COUNTIF('Estratos e PTTs'!$B$15:$B$30,$E34)=0,"TIPO PTT INVÁLIDO","OK"),"OK")))))</f>
        <v/>
      </c>
      <c r="X34" s="52"/>
    </row>
    <row r="35" ht="15.75" customHeight="1">
      <c r="A35" s="52"/>
      <c r="B35" s="28" t="str">
        <f>IF($A35="","",IFERROR(VLOOKUP($A35,'Resumo por docente'!$A$8:$B$57,2,FALSE),""))</f>
        <v/>
      </c>
      <c r="C35" s="38"/>
      <c r="D35" s="57"/>
      <c r="E35" s="38"/>
      <c r="F35" s="52"/>
      <c r="G35" s="38"/>
      <c r="H35" s="38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48" t="str">
        <f>IF($A35="","",IF(OR($C35="",$D35="",$E35="",$F35=""),"INCOMPLETO",IF(OR($D35&lt;2021,$D35&gt;2026),"ANO FORA DA JANELA",IF(OR(LOWER($U35)&lt;&gt;"sim",LOWER($V35)&lt;&gt;"sim",$G35="",$H35="",$J35="",$K35="",$M35="",$N35="",$Q35="",$R35="",$S35=""),"INCOMPLETO",IF(LEFT($C35,3)="PTT",IF(COUNTIF('Estratos e PTTs'!$B$15:$B$30,$E35)=0,"TIPO PTT INVÁLIDO","OK"),"OK")))))</f>
        <v/>
      </c>
      <c r="X35" s="52"/>
    </row>
    <row r="36" ht="15.75" customHeight="1">
      <c r="A36" s="52"/>
      <c r="B36" s="28" t="str">
        <f>IF($A36="","",IFERROR(VLOOKUP($A36,'Resumo por docente'!$A$8:$B$57,2,FALSE),""))</f>
        <v/>
      </c>
      <c r="C36" s="38"/>
      <c r="D36" s="57"/>
      <c r="E36" s="38"/>
      <c r="F36" s="52"/>
      <c r="G36" s="38"/>
      <c r="H36" s="38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48" t="str">
        <f>IF($A36="","",IF(OR($C36="",$D36="",$E36="",$F36=""),"INCOMPLETO",IF(OR($D36&lt;2021,$D36&gt;2026),"ANO FORA DA JANELA",IF(OR(LOWER($U36)&lt;&gt;"sim",LOWER($V36)&lt;&gt;"sim",$G36="",$H36="",$J36="",$K36="",$M36="",$N36="",$Q36="",$R36="",$S36=""),"INCOMPLETO",IF(LEFT($C36,3)="PTT",IF(COUNTIF('Estratos e PTTs'!$B$15:$B$30,$E36)=0,"TIPO PTT INVÁLIDO","OK"),"OK")))))</f>
        <v/>
      </c>
      <c r="X36" s="52"/>
    </row>
    <row r="37" ht="15.75" customHeight="1">
      <c r="A37" s="52"/>
      <c r="B37" s="28" t="str">
        <f>IF($A37="","",IFERROR(VLOOKUP($A37,'Resumo por docente'!$A$8:$B$57,2,FALSE),""))</f>
        <v/>
      </c>
      <c r="C37" s="38"/>
      <c r="D37" s="57"/>
      <c r="E37" s="38"/>
      <c r="F37" s="52"/>
      <c r="G37" s="38"/>
      <c r="H37" s="38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48" t="str">
        <f>IF($A37="","",IF(OR($C37="",$D37="",$E37="",$F37=""),"INCOMPLETO",IF(OR($D37&lt;2021,$D37&gt;2026),"ANO FORA DA JANELA",IF(OR(LOWER($U37)&lt;&gt;"sim",LOWER($V37)&lt;&gt;"sim",$G37="",$H37="",$J37="",$K37="",$M37="",$N37="",$Q37="",$R37="",$S37=""),"INCOMPLETO",IF(LEFT($C37,3)="PTT",IF(COUNTIF('Estratos e PTTs'!$B$15:$B$30,$E37)=0,"TIPO PTT INVÁLIDO","OK"),"OK")))))</f>
        <v/>
      </c>
      <c r="X37" s="52"/>
    </row>
    <row r="38" ht="15.75" customHeight="1">
      <c r="A38" s="52"/>
      <c r="B38" s="28" t="str">
        <f>IF($A38="","",IFERROR(VLOOKUP($A38,'Resumo por docente'!$A$8:$B$57,2,FALSE),""))</f>
        <v/>
      </c>
      <c r="C38" s="38"/>
      <c r="D38" s="57"/>
      <c r="E38" s="38"/>
      <c r="F38" s="52"/>
      <c r="G38" s="38"/>
      <c r="H38" s="38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48" t="str">
        <f>IF($A38="","",IF(OR($C38="",$D38="",$E38="",$F38=""),"INCOMPLETO",IF(OR($D38&lt;2021,$D38&gt;2026),"ANO FORA DA JANELA",IF(OR(LOWER($U38)&lt;&gt;"sim",LOWER($V38)&lt;&gt;"sim",$G38="",$H38="",$J38="",$K38="",$M38="",$N38="",$Q38="",$R38="",$S38=""),"INCOMPLETO",IF(LEFT($C38,3)="PTT",IF(COUNTIF('Estratos e PTTs'!$B$15:$B$30,$E38)=0,"TIPO PTT INVÁLIDO","OK"),"OK")))))</f>
        <v/>
      </c>
      <c r="X38" s="52"/>
    </row>
    <row r="39" ht="15.75" customHeight="1">
      <c r="A39" s="52"/>
      <c r="B39" s="28" t="str">
        <f>IF($A39="","",IFERROR(VLOOKUP($A39,'Resumo por docente'!$A$8:$B$57,2,FALSE),""))</f>
        <v/>
      </c>
      <c r="C39" s="38"/>
      <c r="D39" s="57"/>
      <c r="E39" s="38"/>
      <c r="F39" s="52"/>
      <c r="G39" s="38"/>
      <c r="H39" s="38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48" t="str">
        <f>IF($A39="","",IF(OR($C39="",$D39="",$E39="",$F39=""),"INCOMPLETO",IF(OR($D39&lt;2021,$D39&gt;2026),"ANO FORA DA JANELA",IF(OR(LOWER($U39)&lt;&gt;"sim",LOWER($V39)&lt;&gt;"sim",$G39="",$H39="",$J39="",$K39="",$M39="",$N39="",$Q39="",$R39="",$S39=""),"INCOMPLETO",IF(LEFT($C39,3)="PTT",IF(COUNTIF('Estratos e PTTs'!$B$15:$B$30,$E39)=0,"TIPO PTT INVÁLIDO","OK"),"OK")))))</f>
        <v/>
      </c>
      <c r="X39" s="52"/>
    </row>
    <row r="40" ht="15.75" customHeight="1">
      <c r="A40" s="52"/>
      <c r="B40" s="28" t="str">
        <f>IF($A40="","",IFERROR(VLOOKUP($A40,'Resumo por docente'!$A$8:$B$57,2,FALSE),""))</f>
        <v/>
      </c>
      <c r="C40" s="38"/>
      <c r="D40" s="57"/>
      <c r="E40" s="38"/>
      <c r="F40" s="52"/>
      <c r="G40" s="38"/>
      <c r="H40" s="38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48" t="str">
        <f>IF($A40="","",IF(OR($C40="",$D40="",$E40="",$F40=""),"INCOMPLETO",IF(OR($D40&lt;2021,$D40&gt;2026),"ANO FORA DA JANELA",IF(OR(LOWER($U40)&lt;&gt;"sim",LOWER($V40)&lt;&gt;"sim",$G40="",$H40="",$J40="",$K40="",$M40="",$N40="",$Q40="",$R40="",$S40=""),"INCOMPLETO",IF(LEFT($C40,3)="PTT",IF(COUNTIF('Estratos e PTTs'!$B$15:$B$30,$E40)=0,"TIPO PTT INVÁLIDO","OK"),"OK")))))</f>
        <v/>
      </c>
      <c r="X40" s="52"/>
    </row>
    <row r="41" ht="15.75" customHeight="1">
      <c r="A41" s="52"/>
      <c r="B41" s="28" t="str">
        <f>IF($A41="","",IFERROR(VLOOKUP($A41,'Resumo por docente'!$A$8:$B$57,2,FALSE),""))</f>
        <v/>
      </c>
      <c r="C41" s="38"/>
      <c r="D41" s="57"/>
      <c r="E41" s="38"/>
      <c r="F41" s="52"/>
      <c r="G41" s="38"/>
      <c r="H41" s="38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48" t="str">
        <f>IF($A41="","",IF(OR($C41="",$D41="",$E41="",$F41=""),"INCOMPLETO",IF(OR($D41&lt;2021,$D41&gt;2026),"ANO FORA DA JANELA",IF(OR(LOWER($U41)&lt;&gt;"sim",LOWER($V41)&lt;&gt;"sim",$G41="",$H41="",$J41="",$K41="",$M41="",$N41="",$Q41="",$R41="",$S41=""),"INCOMPLETO",IF(LEFT($C41,3)="PTT",IF(COUNTIF('Estratos e PTTs'!$B$15:$B$30,$E41)=0,"TIPO PTT INVÁLIDO","OK"),"OK")))))</f>
        <v/>
      </c>
      <c r="X41" s="52"/>
    </row>
    <row r="42" ht="15.75" customHeight="1">
      <c r="A42" s="52"/>
      <c r="B42" s="28" t="str">
        <f>IF($A42="","",IFERROR(VLOOKUP($A42,'Resumo por docente'!$A$8:$B$57,2,FALSE),""))</f>
        <v/>
      </c>
      <c r="C42" s="38"/>
      <c r="D42" s="57"/>
      <c r="E42" s="38"/>
      <c r="F42" s="52"/>
      <c r="G42" s="38"/>
      <c r="H42" s="38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48" t="str">
        <f>IF($A42="","",IF(OR($C42="",$D42="",$E42="",$F42=""),"INCOMPLETO",IF(OR($D42&lt;2021,$D42&gt;2026),"ANO FORA DA JANELA",IF(OR(LOWER($U42)&lt;&gt;"sim",LOWER($V42)&lt;&gt;"sim",$G42="",$H42="",$J42="",$K42="",$M42="",$N42="",$Q42="",$R42="",$S42=""),"INCOMPLETO",IF(LEFT($C42,3)="PTT",IF(COUNTIF('Estratos e PTTs'!$B$15:$B$30,$E42)=0,"TIPO PTT INVÁLIDO","OK"),"OK")))))</f>
        <v/>
      </c>
      <c r="X42" s="52"/>
    </row>
    <row r="43" ht="15.75" customHeight="1">
      <c r="A43" s="52"/>
      <c r="B43" s="28" t="str">
        <f>IF($A43="","",IFERROR(VLOOKUP($A43,'Resumo por docente'!$A$8:$B$57,2,FALSE),""))</f>
        <v/>
      </c>
      <c r="C43" s="38"/>
      <c r="D43" s="57"/>
      <c r="E43" s="38"/>
      <c r="F43" s="52"/>
      <c r="G43" s="38"/>
      <c r="H43" s="38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48" t="str">
        <f>IF($A43="","",IF(OR($C43="",$D43="",$E43="",$F43=""),"INCOMPLETO",IF(OR($D43&lt;2021,$D43&gt;2026),"ANO FORA DA JANELA",IF(OR(LOWER($U43)&lt;&gt;"sim",LOWER($V43)&lt;&gt;"sim",$G43="",$H43="",$J43="",$K43="",$M43="",$N43="",$Q43="",$R43="",$S43=""),"INCOMPLETO",IF(LEFT($C43,3)="PTT",IF(COUNTIF('Estratos e PTTs'!$B$15:$B$30,$E43)=0,"TIPO PTT INVÁLIDO","OK"),"OK")))))</f>
        <v/>
      </c>
      <c r="X43" s="52"/>
    </row>
    <row r="44" ht="15.75" customHeight="1">
      <c r="A44" s="52"/>
      <c r="B44" s="28" t="str">
        <f>IF($A44="","",IFERROR(VLOOKUP($A44,'Resumo por docente'!$A$8:$B$57,2,FALSE),""))</f>
        <v/>
      </c>
      <c r="C44" s="38"/>
      <c r="D44" s="57"/>
      <c r="E44" s="38"/>
      <c r="F44" s="52"/>
      <c r="G44" s="38"/>
      <c r="H44" s="38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48" t="str">
        <f>IF($A44="","",IF(OR($C44="",$D44="",$E44="",$F44=""),"INCOMPLETO",IF(OR($D44&lt;2021,$D44&gt;2026),"ANO FORA DA JANELA",IF(OR(LOWER($U44)&lt;&gt;"sim",LOWER($V44)&lt;&gt;"sim",$G44="",$H44="",$J44="",$K44="",$M44="",$N44="",$Q44="",$R44="",$S44=""),"INCOMPLETO",IF(LEFT($C44,3)="PTT",IF(COUNTIF('Estratos e PTTs'!$B$15:$B$30,$E44)=0,"TIPO PTT INVÁLIDO","OK"),"OK")))))</f>
        <v/>
      </c>
      <c r="X44" s="52"/>
    </row>
    <row r="45" ht="15.75" customHeight="1">
      <c r="A45" s="52"/>
      <c r="B45" s="28" t="str">
        <f>IF($A45="","",IFERROR(VLOOKUP($A45,'Resumo por docente'!$A$8:$B$57,2,FALSE),""))</f>
        <v/>
      </c>
      <c r="C45" s="38"/>
      <c r="D45" s="57"/>
      <c r="E45" s="38"/>
      <c r="F45" s="52"/>
      <c r="G45" s="38"/>
      <c r="H45" s="38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48" t="str">
        <f>IF($A45="","",IF(OR($C45="",$D45="",$E45="",$F45=""),"INCOMPLETO",IF(OR($D45&lt;2021,$D45&gt;2026),"ANO FORA DA JANELA",IF(OR(LOWER($U45)&lt;&gt;"sim",LOWER($V45)&lt;&gt;"sim",$G45="",$H45="",$J45="",$K45="",$M45="",$N45="",$Q45="",$R45="",$S45=""),"INCOMPLETO",IF(LEFT($C45,3)="PTT",IF(COUNTIF('Estratos e PTTs'!$B$15:$B$30,$E45)=0,"TIPO PTT INVÁLIDO","OK"),"OK")))))</f>
        <v/>
      </c>
      <c r="X45" s="52"/>
    </row>
    <row r="46" ht="15.75" customHeight="1">
      <c r="A46" s="52"/>
      <c r="B46" s="28" t="str">
        <f>IF($A46="","",IFERROR(VLOOKUP($A46,'Resumo por docente'!$A$8:$B$57,2,FALSE),""))</f>
        <v/>
      </c>
      <c r="C46" s="38"/>
      <c r="D46" s="57"/>
      <c r="E46" s="38"/>
      <c r="F46" s="52"/>
      <c r="G46" s="38"/>
      <c r="H46" s="38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48" t="str">
        <f>IF($A46="","",IF(OR($C46="",$D46="",$E46="",$F46=""),"INCOMPLETO",IF(OR($D46&lt;2021,$D46&gt;2026),"ANO FORA DA JANELA",IF(OR(LOWER($U46)&lt;&gt;"sim",LOWER($V46)&lt;&gt;"sim",$G46="",$H46="",$J46="",$K46="",$M46="",$N46="",$Q46="",$R46="",$S46=""),"INCOMPLETO",IF(LEFT($C46,3)="PTT",IF(COUNTIF('Estratos e PTTs'!$B$15:$B$30,$E46)=0,"TIPO PTT INVÁLIDO","OK"),"OK")))))</f>
        <v/>
      </c>
      <c r="X46" s="52"/>
    </row>
    <row r="47" ht="15.75" customHeight="1">
      <c r="A47" s="52"/>
      <c r="B47" s="28" t="str">
        <f>IF($A47="","",IFERROR(VLOOKUP($A47,'Resumo por docente'!$A$8:$B$57,2,FALSE),""))</f>
        <v/>
      </c>
      <c r="C47" s="38"/>
      <c r="D47" s="57"/>
      <c r="E47" s="38"/>
      <c r="F47" s="52"/>
      <c r="G47" s="38"/>
      <c r="H47" s="38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48" t="str">
        <f>IF($A47="","",IF(OR($C47="",$D47="",$E47="",$F47=""),"INCOMPLETO",IF(OR($D47&lt;2021,$D47&gt;2026),"ANO FORA DA JANELA",IF(OR(LOWER($U47)&lt;&gt;"sim",LOWER($V47)&lt;&gt;"sim",$G47="",$H47="",$J47="",$K47="",$M47="",$N47="",$Q47="",$R47="",$S47=""),"INCOMPLETO",IF(LEFT($C47,3)="PTT",IF(COUNTIF('Estratos e PTTs'!$B$15:$B$30,$E47)=0,"TIPO PTT INVÁLIDO","OK"),"OK")))))</f>
        <v/>
      </c>
      <c r="X47" s="52"/>
    </row>
    <row r="48" ht="15.75" customHeight="1">
      <c r="A48" s="52"/>
      <c r="B48" s="28" t="str">
        <f>IF($A48="","",IFERROR(VLOOKUP($A48,'Resumo por docente'!$A$8:$B$57,2,FALSE),""))</f>
        <v/>
      </c>
      <c r="C48" s="38"/>
      <c r="D48" s="57"/>
      <c r="E48" s="38"/>
      <c r="F48" s="52"/>
      <c r="G48" s="38"/>
      <c r="H48" s="38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48" t="str">
        <f>IF($A48="","",IF(OR($C48="",$D48="",$E48="",$F48=""),"INCOMPLETO",IF(OR($D48&lt;2021,$D48&gt;2026),"ANO FORA DA JANELA",IF(OR(LOWER($U48)&lt;&gt;"sim",LOWER($V48)&lt;&gt;"sim",$G48="",$H48="",$J48="",$K48="",$M48="",$N48="",$Q48="",$R48="",$S48=""),"INCOMPLETO",IF(LEFT($C48,3)="PTT",IF(COUNTIF('Estratos e PTTs'!$B$15:$B$30,$E48)=0,"TIPO PTT INVÁLIDO","OK"),"OK")))))</f>
        <v/>
      </c>
      <c r="X48" s="52"/>
    </row>
    <row r="49" ht="15.75" customHeight="1">
      <c r="A49" s="52"/>
      <c r="B49" s="28" t="str">
        <f>IF($A49="","",IFERROR(VLOOKUP($A49,'Resumo por docente'!$A$8:$B$57,2,FALSE),""))</f>
        <v/>
      </c>
      <c r="C49" s="38"/>
      <c r="D49" s="57"/>
      <c r="E49" s="38"/>
      <c r="F49" s="52"/>
      <c r="G49" s="38"/>
      <c r="H49" s="38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48" t="str">
        <f>IF($A49="","",IF(OR($C49="",$D49="",$E49="",$F49=""),"INCOMPLETO",IF(OR($D49&lt;2021,$D49&gt;2026),"ANO FORA DA JANELA",IF(OR(LOWER($U49)&lt;&gt;"sim",LOWER($V49)&lt;&gt;"sim",$G49="",$H49="",$J49="",$K49="",$M49="",$N49="",$Q49="",$R49="",$S49=""),"INCOMPLETO",IF(LEFT($C49,3)="PTT",IF(COUNTIF('Estratos e PTTs'!$B$15:$B$30,$E49)=0,"TIPO PTT INVÁLIDO","OK"),"OK")))))</f>
        <v/>
      </c>
      <c r="X49" s="52"/>
    </row>
    <row r="50" ht="15.75" customHeight="1">
      <c r="A50" s="52"/>
      <c r="B50" s="28" t="str">
        <f>IF($A50="","",IFERROR(VLOOKUP($A50,'Resumo por docente'!$A$8:$B$57,2,FALSE),""))</f>
        <v/>
      </c>
      <c r="C50" s="38"/>
      <c r="D50" s="57"/>
      <c r="E50" s="38"/>
      <c r="F50" s="52"/>
      <c r="G50" s="38"/>
      <c r="H50" s="38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48" t="str">
        <f>IF($A50="","",IF(OR($C50="",$D50="",$E50="",$F50=""),"INCOMPLETO",IF(OR($D50&lt;2021,$D50&gt;2026),"ANO FORA DA JANELA",IF(OR(LOWER($U50)&lt;&gt;"sim",LOWER($V50)&lt;&gt;"sim",$G50="",$H50="",$J50="",$K50="",$M50="",$N50="",$Q50="",$R50="",$S50=""),"INCOMPLETO",IF(LEFT($C50,3)="PTT",IF(COUNTIF('Estratos e PTTs'!$B$15:$B$30,$E50)=0,"TIPO PTT INVÁLIDO","OK"),"OK")))))</f>
        <v/>
      </c>
      <c r="X50" s="52"/>
    </row>
    <row r="51" ht="15.75" customHeight="1">
      <c r="A51" s="52"/>
      <c r="B51" s="28" t="str">
        <f>IF($A51="","",IFERROR(VLOOKUP($A51,'Resumo por docente'!$A$8:$B$57,2,FALSE),""))</f>
        <v/>
      </c>
      <c r="C51" s="38"/>
      <c r="D51" s="57"/>
      <c r="E51" s="38"/>
      <c r="F51" s="52"/>
      <c r="G51" s="38"/>
      <c r="H51" s="38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48" t="str">
        <f>IF($A51="","",IF(OR($C51="",$D51="",$E51="",$F51=""),"INCOMPLETO",IF(OR($D51&lt;2021,$D51&gt;2026),"ANO FORA DA JANELA",IF(OR(LOWER($U51)&lt;&gt;"sim",LOWER($V51)&lt;&gt;"sim",$G51="",$H51="",$J51="",$K51="",$M51="",$N51="",$Q51="",$R51="",$S51=""),"INCOMPLETO",IF(LEFT($C51,3)="PTT",IF(COUNTIF('Estratos e PTTs'!$B$15:$B$30,$E51)=0,"TIPO PTT INVÁLIDO","OK"),"OK")))))</f>
        <v/>
      </c>
      <c r="X51" s="52"/>
    </row>
    <row r="52" ht="15.75" customHeight="1">
      <c r="A52" s="52"/>
      <c r="B52" s="28" t="str">
        <f>IF($A52="","",IFERROR(VLOOKUP($A52,'Resumo por docente'!$A$8:$B$57,2,FALSE),""))</f>
        <v/>
      </c>
      <c r="C52" s="38"/>
      <c r="D52" s="57"/>
      <c r="E52" s="38"/>
      <c r="F52" s="52"/>
      <c r="G52" s="38"/>
      <c r="H52" s="38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48" t="str">
        <f>IF($A52="","",IF(OR($C52="",$D52="",$E52="",$F52=""),"INCOMPLETO",IF(OR($D52&lt;2021,$D52&gt;2026),"ANO FORA DA JANELA",IF(OR(LOWER($U52)&lt;&gt;"sim",LOWER($V52)&lt;&gt;"sim",$G52="",$H52="",$J52="",$K52="",$M52="",$N52="",$Q52="",$R52="",$S52=""),"INCOMPLETO",IF(LEFT($C52,3)="PTT",IF(COUNTIF('Estratos e PTTs'!$B$15:$B$30,$E52)=0,"TIPO PTT INVÁLIDO","OK"),"OK")))))</f>
        <v/>
      </c>
      <c r="X52" s="52"/>
    </row>
    <row r="53" ht="15.75" customHeight="1">
      <c r="A53" s="52"/>
      <c r="B53" s="28" t="str">
        <f>IF($A53="","",IFERROR(VLOOKUP($A53,'Resumo por docente'!$A$8:$B$57,2,FALSE),""))</f>
        <v/>
      </c>
      <c r="C53" s="38"/>
      <c r="D53" s="57"/>
      <c r="E53" s="38"/>
      <c r="F53" s="52"/>
      <c r="G53" s="38"/>
      <c r="H53" s="38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48" t="str">
        <f>IF($A53="","",IF(OR($C53="",$D53="",$E53="",$F53=""),"INCOMPLETO",IF(OR($D53&lt;2021,$D53&gt;2026),"ANO FORA DA JANELA",IF(OR(LOWER($U53)&lt;&gt;"sim",LOWER($V53)&lt;&gt;"sim",$G53="",$H53="",$J53="",$K53="",$M53="",$N53="",$Q53="",$R53="",$S53=""),"INCOMPLETO",IF(LEFT($C53,3)="PTT",IF(COUNTIF('Estratos e PTTs'!$B$15:$B$30,$E53)=0,"TIPO PTT INVÁLIDO","OK"),"OK")))))</f>
        <v/>
      </c>
      <c r="X53" s="52"/>
    </row>
    <row r="54" ht="15.75" customHeight="1">
      <c r="A54" s="52"/>
      <c r="B54" s="28" t="str">
        <f>IF($A54="","",IFERROR(VLOOKUP($A54,'Resumo por docente'!$A$8:$B$57,2,FALSE),""))</f>
        <v/>
      </c>
      <c r="C54" s="38"/>
      <c r="D54" s="57"/>
      <c r="E54" s="38"/>
      <c r="F54" s="52"/>
      <c r="G54" s="38"/>
      <c r="H54" s="38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48" t="str">
        <f>IF($A54="","",IF(OR($C54="",$D54="",$E54="",$F54=""),"INCOMPLETO",IF(OR($D54&lt;2021,$D54&gt;2026),"ANO FORA DA JANELA",IF(OR(LOWER($U54)&lt;&gt;"sim",LOWER($V54)&lt;&gt;"sim",$G54="",$H54="",$J54="",$K54="",$M54="",$N54="",$Q54="",$R54="",$S54=""),"INCOMPLETO",IF(LEFT($C54,3)="PTT",IF(COUNTIF('Estratos e PTTs'!$B$15:$B$30,$E54)=0,"TIPO PTT INVÁLIDO","OK"),"OK")))))</f>
        <v/>
      </c>
      <c r="X54" s="52"/>
    </row>
    <row r="55" ht="15.75" customHeight="1">
      <c r="A55" s="52"/>
      <c r="B55" s="28" t="str">
        <f>IF($A55="","",IFERROR(VLOOKUP($A55,'Resumo por docente'!$A$8:$B$57,2,FALSE),""))</f>
        <v/>
      </c>
      <c r="C55" s="38"/>
      <c r="D55" s="57"/>
      <c r="E55" s="38"/>
      <c r="F55" s="52"/>
      <c r="G55" s="38"/>
      <c r="H55" s="38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48" t="str">
        <f>IF($A55="","",IF(OR($C55="",$D55="",$E55="",$F55=""),"INCOMPLETO",IF(OR($D55&lt;2021,$D55&gt;2026),"ANO FORA DA JANELA",IF(OR(LOWER($U55)&lt;&gt;"sim",LOWER($V55)&lt;&gt;"sim",$G55="",$H55="",$J55="",$K55="",$M55="",$N55="",$Q55="",$R55="",$S55=""),"INCOMPLETO",IF(LEFT($C55,3)="PTT",IF(COUNTIF('Estratos e PTTs'!$B$15:$B$30,$E55)=0,"TIPO PTT INVÁLIDO","OK"),"OK")))))</f>
        <v/>
      </c>
      <c r="X55" s="52"/>
    </row>
    <row r="56" ht="15.75" customHeight="1">
      <c r="A56" s="52"/>
      <c r="B56" s="28" t="str">
        <f>IF($A56="","",IFERROR(VLOOKUP($A56,'Resumo por docente'!$A$8:$B$57,2,FALSE),""))</f>
        <v/>
      </c>
      <c r="C56" s="38"/>
      <c r="D56" s="57"/>
      <c r="E56" s="38"/>
      <c r="F56" s="52"/>
      <c r="G56" s="38"/>
      <c r="H56" s="38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48" t="str">
        <f>IF($A56="","",IF(OR($C56="",$D56="",$E56="",$F56=""),"INCOMPLETO",IF(OR($D56&lt;2021,$D56&gt;2026),"ANO FORA DA JANELA",IF(OR(LOWER($U56)&lt;&gt;"sim",LOWER($V56)&lt;&gt;"sim",$G56="",$H56="",$J56="",$K56="",$M56="",$N56="",$Q56="",$R56="",$S56=""),"INCOMPLETO",IF(LEFT($C56,3)="PTT",IF(COUNTIF('Estratos e PTTs'!$B$15:$B$30,$E56)=0,"TIPO PTT INVÁLIDO","OK"),"OK")))))</f>
        <v/>
      </c>
      <c r="X56" s="52"/>
    </row>
    <row r="57" ht="15.75" customHeight="1">
      <c r="A57" s="52"/>
      <c r="B57" s="28" t="str">
        <f>IF($A57="","",IFERROR(VLOOKUP($A57,'Resumo por docente'!$A$8:$B$57,2,FALSE),""))</f>
        <v/>
      </c>
      <c r="C57" s="38"/>
      <c r="D57" s="57"/>
      <c r="E57" s="38"/>
      <c r="F57" s="52"/>
      <c r="G57" s="38"/>
      <c r="H57" s="38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48" t="str">
        <f>IF($A57="","",IF(OR($C57="",$D57="",$E57="",$F57=""),"INCOMPLETO",IF(OR($D57&lt;2021,$D57&gt;2026),"ANO FORA DA JANELA",IF(OR(LOWER($U57)&lt;&gt;"sim",LOWER($V57)&lt;&gt;"sim",$G57="",$H57="",$J57="",$K57="",$M57="",$N57="",$Q57="",$R57="",$S57=""),"INCOMPLETO",IF(LEFT($C57,3)="PTT",IF(COUNTIF('Estratos e PTTs'!$B$15:$B$30,$E57)=0,"TIPO PTT INVÁLIDO","OK"),"OK")))))</f>
        <v/>
      </c>
      <c r="X57" s="52"/>
    </row>
    <row r="58" ht="15.75" customHeight="1">
      <c r="A58" s="52"/>
      <c r="B58" s="28" t="str">
        <f>IF($A58="","",IFERROR(VLOOKUP($A58,'Resumo por docente'!$A$8:$B$57,2,FALSE),""))</f>
        <v/>
      </c>
      <c r="C58" s="38"/>
      <c r="D58" s="57"/>
      <c r="E58" s="38"/>
      <c r="F58" s="52"/>
      <c r="G58" s="38"/>
      <c r="H58" s="38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48" t="str">
        <f>IF($A58="","",IF(OR($C58="",$D58="",$E58="",$F58=""),"INCOMPLETO",IF(OR($D58&lt;2021,$D58&gt;2026),"ANO FORA DA JANELA",IF(OR(LOWER($U58)&lt;&gt;"sim",LOWER($V58)&lt;&gt;"sim",$G58="",$H58="",$J58="",$K58="",$M58="",$N58="",$Q58="",$R58="",$S58=""),"INCOMPLETO",IF(LEFT($C58,3)="PTT",IF(COUNTIF('Estratos e PTTs'!$B$15:$B$30,$E58)=0,"TIPO PTT INVÁLIDO","OK"),"OK")))))</f>
        <v/>
      </c>
      <c r="X58" s="52"/>
    </row>
    <row r="59" ht="15.75" customHeight="1">
      <c r="A59" s="52"/>
      <c r="B59" s="28" t="str">
        <f>IF($A59="","",IFERROR(VLOOKUP($A59,'Resumo por docente'!$A$8:$B$57,2,FALSE),""))</f>
        <v/>
      </c>
      <c r="C59" s="38"/>
      <c r="D59" s="57"/>
      <c r="E59" s="38"/>
      <c r="F59" s="52"/>
      <c r="G59" s="38"/>
      <c r="H59" s="38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48" t="str">
        <f>IF($A59="","",IF(OR($C59="",$D59="",$E59="",$F59=""),"INCOMPLETO",IF(OR($D59&lt;2021,$D59&gt;2026),"ANO FORA DA JANELA",IF(OR(LOWER($U59)&lt;&gt;"sim",LOWER($V59)&lt;&gt;"sim",$G59="",$H59="",$J59="",$K59="",$M59="",$N59="",$Q59="",$R59="",$S59=""),"INCOMPLETO",IF(LEFT($C59,3)="PTT",IF(COUNTIF('Estratos e PTTs'!$B$15:$B$30,$E59)=0,"TIPO PTT INVÁLIDO","OK"),"OK")))))</f>
        <v/>
      </c>
      <c r="X59" s="52"/>
    </row>
    <row r="60" ht="15.75" customHeight="1">
      <c r="A60" s="52"/>
      <c r="B60" s="28" t="str">
        <f>IF($A60="","",IFERROR(VLOOKUP($A60,'Resumo por docente'!$A$8:$B$57,2,FALSE),""))</f>
        <v/>
      </c>
      <c r="C60" s="38"/>
      <c r="D60" s="57"/>
      <c r="E60" s="38"/>
      <c r="F60" s="52"/>
      <c r="G60" s="38"/>
      <c r="H60" s="38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48" t="str">
        <f>IF($A60="","",IF(OR($C60="",$D60="",$E60="",$F60=""),"INCOMPLETO",IF(OR($D60&lt;2021,$D60&gt;2026),"ANO FORA DA JANELA",IF(OR(LOWER($U60)&lt;&gt;"sim",LOWER($V60)&lt;&gt;"sim",$G60="",$H60="",$J60="",$K60="",$M60="",$N60="",$Q60="",$R60="",$S60=""),"INCOMPLETO",IF(LEFT($C60,3)="PTT",IF(COUNTIF('Estratos e PTTs'!$B$15:$B$30,$E60)=0,"TIPO PTT INVÁLIDO","OK"),"OK")))))</f>
        <v/>
      </c>
      <c r="X60" s="52"/>
    </row>
    <row r="61" ht="15.75" customHeight="1">
      <c r="A61" s="52"/>
      <c r="B61" s="28" t="str">
        <f>IF($A61="","",IFERROR(VLOOKUP($A61,'Resumo por docente'!$A$8:$B$57,2,FALSE),""))</f>
        <v/>
      </c>
      <c r="C61" s="38"/>
      <c r="D61" s="57"/>
      <c r="E61" s="38"/>
      <c r="F61" s="52"/>
      <c r="G61" s="38"/>
      <c r="H61" s="38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48" t="str">
        <f>IF($A61="","",IF(OR($C61="",$D61="",$E61="",$F61=""),"INCOMPLETO",IF(OR($D61&lt;2021,$D61&gt;2026),"ANO FORA DA JANELA",IF(OR(LOWER($U61)&lt;&gt;"sim",LOWER($V61)&lt;&gt;"sim",$G61="",$H61="",$J61="",$K61="",$M61="",$N61="",$Q61="",$R61="",$S61=""),"INCOMPLETO",IF(LEFT($C61,3)="PTT",IF(COUNTIF('Estratos e PTTs'!$B$15:$B$30,$E61)=0,"TIPO PTT INVÁLIDO","OK"),"OK")))))</f>
        <v/>
      </c>
      <c r="X61" s="52"/>
    </row>
    <row r="62" ht="15.75" customHeight="1">
      <c r="A62" s="52"/>
      <c r="B62" s="28" t="str">
        <f>IF($A62="","",IFERROR(VLOOKUP($A62,'Resumo por docente'!$A$8:$B$57,2,FALSE),""))</f>
        <v/>
      </c>
      <c r="C62" s="38"/>
      <c r="D62" s="57"/>
      <c r="E62" s="38"/>
      <c r="F62" s="52"/>
      <c r="G62" s="38"/>
      <c r="H62" s="38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48" t="str">
        <f>IF($A62="","",IF(OR($C62="",$D62="",$E62="",$F62=""),"INCOMPLETO",IF(OR($D62&lt;2021,$D62&gt;2026),"ANO FORA DA JANELA",IF(OR(LOWER($U62)&lt;&gt;"sim",LOWER($V62)&lt;&gt;"sim",$G62="",$H62="",$J62="",$K62="",$M62="",$N62="",$Q62="",$R62="",$S62=""),"INCOMPLETO",IF(LEFT($C62,3)="PTT",IF(COUNTIF('Estratos e PTTs'!$B$15:$B$30,$E62)=0,"TIPO PTT INVÁLIDO","OK"),"OK")))))</f>
        <v/>
      </c>
      <c r="X62" s="52"/>
    </row>
    <row r="63" ht="15.75" customHeight="1">
      <c r="A63" s="52"/>
      <c r="B63" s="28" t="str">
        <f>IF($A63="","",IFERROR(VLOOKUP($A63,'Resumo por docente'!$A$8:$B$57,2,FALSE),""))</f>
        <v/>
      </c>
      <c r="C63" s="38"/>
      <c r="D63" s="57"/>
      <c r="E63" s="38"/>
      <c r="F63" s="52"/>
      <c r="G63" s="38"/>
      <c r="H63" s="38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48" t="str">
        <f>IF($A63="","",IF(OR($C63="",$D63="",$E63="",$F63=""),"INCOMPLETO",IF(OR($D63&lt;2021,$D63&gt;2026),"ANO FORA DA JANELA",IF(OR(LOWER($U63)&lt;&gt;"sim",LOWER($V63)&lt;&gt;"sim",$G63="",$H63="",$J63="",$K63="",$M63="",$N63="",$Q63="",$R63="",$S63=""),"INCOMPLETO",IF(LEFT($C63,3)="PTT",IF(COUNTIF('Estratos e PTTs'!$B$15:$B$30,$E63)=0,"TIPO PTT INVÁLIDO","OK"),"OK")))))</f>
        <v/>
      </c>
      <c r="X63" s="52"/>
    </row>
    <row r="64" ht="15.75" customHeight="1">
      <c r="A64" s="52"/>
      <c r="B64" s="28" t="str">
        <f>IF($A64="","",IFERROR(VLOOKUP($A64,'Resumo por docente'!$A$8:$B$57,2,FALSE),""))</f>
        <v/>
      </c>
      <c r="C64" s="38"/>
      <c r="D64" s="57"/>
      <c r="E64" s="38"/>
      <c r="F64" s="52"/>
      <c r="G64" s="38"/>
      <c r="H64" s="38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48" t="str">
        <f>IF($A64="","",IF(OR($C64="",$D64="",$E64="",$F64=""),"INCOMPLETO",IF(OR($D64&lt;2021,$D64&gt;2026),"ANO FORA DA JANELA",IF(OR(LOWER($U64)&lt;&gt;"sim",LOWER($V64)&lt;&gt;"sim",$G64="",$H64="",$J64="",$K64="",$M64="",$N64="",$Q64="",$R64="",$S64=""),"INCOMPLETO",IF(LEFT($C64,3)="PTT",IF(COUNTIF('Estratos e PTTs'!$B$15:$B$30,$E64)=0,"TIPO PTT INVÁLIDO","OK"),"OK")))))</f>
        <v/>
      </c>
      <c r="X64" s="52"/>
    </row>
    <row r="65" ht="15.75" customHeight="1">
      <c r="A65" s="52"/>
      <c r="B65" s="28" t="str">
        <f>IF($A65="","",IFERROR(VLOOKUP($A65,'Resumo por docente'!$A$8:$B$57,2,FALSE),""))</f>
        <v/>
      </c>
      <c r="C65" s="38"/>
      <c r="D65" s="57"/>
      <c r="E65" s="38"/>
      <c r="F65" s="52"/>
      <c r="G65" s="38"/>
      <c r="H65" s="38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48" t="str">
        <f>IF($A65="","",IF(OR($C65="",$D65="",$E65="",$F65=""),"INCOMPLETO",IF(OR($D65&lt;2021,$D65&gt;2026),"ANO FORA DA JANELA",IF(OR(LOWER($U65)&lt;&gt;"sim",LOWER($V65)&lt;&gt;"sim",$G65="",$H65="",$J65="",$K65="",$M65="",$N65="",$Q65="",$R65="",$S65=""),"INCOMPLETO",IF(LEFT($C65,3)="PTT",IF(COUNTIF('Estratos e PTTs'!$B$15:$B$30,$E65)=0,"TIPO PTT INVÁLIDO","OK"),"OK")))))</f>
        <v/>
      </c>
      <c r="X65" s="52"/>
    </row>
    <row r="66" ht="15.75" customHeight="1">
      <c r="A66" s="52"/>
      <c r="B66" s="28" t="str">
        <f>IF($A66="","",IFERROR(VLOOKUP($A66,'Resumo por docente'!$A$8:$B$57,2,FALSE),""))</f>
        <v/>
      </c>
      <c r="C66" s="38"/>
      <c r="D66" s="57"/>
      <c r="E66" s="38"/>
      <c r="F66" s="52"/>
      <c r="G66" s="38"/>
      <c r="H66" s="38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48" t="str">
        <f>IF($A66="","",IF(OR($C66="",$D66="",$E66="",$F66=""),"INCOMPLETO",IF(OR($D66&lt;2021,$D66&gt;2026),"ANO FORA DA JANELA",IF(OR(LOWER($U66)&lt;&gt;"sim",LOWER($V66)&lt;&gt;"sim",$G66="",$H66="",$J66="",$K66="",$M66="",$N66="",$Q66="",$R66="",$S66=""),"INCOMPLETO",IF(LEFT($C66,3)="PTT",IF(COUNTIF('Estratos e PTTs'!$B$15:$B$30,$E66)=0,"TIPO PTT INVÁLIDO","OK"),"OK")))))</f>
        <v/>
      </c>
      <c r="X66" s="52"/>
    </row>
    <row r="67" ht="15.75" customHeight="1">
      <c r="A67" s="52"/>
      <c r="B67" s="28" t="str">
        <f>IF($A67="","",IFERROR(VLOOKUP($A67,'Resumo por docente'!$A$8:$B$57,2,FALSE),""))</f>
        <v/>
      </c>
      <c r="C67" s="38"/>
      <c r="D67" s="57"/>
      <c r="E67" s="38"/>
      <c r="F67" s="52"/>
      <c r="G67" s="38"/>
      <c r="H67" s="38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48" t="str">
        <f>IF($A67="","",IF(OR($C67="",$D67="",$E67="",$F67=""),"INCOMPLETO",IF(OR($D67&lt;2021,$D67&gt;2026),"ANO FORA DA JANELA",IF(OR(LOWER($U67)&lt;&gt;"sim",LOWER($V67)&lt;&gt;"sim",$G67="",$H67="",$J67="",$K67="",$M67="",$N67="",$Q67="",$R67="",$S67=""),"INCOMPLETO",IF(LEFT($C67,3)="PTT",IF(COUNTIF('Estratos e PTTs'!$B$15:$B$30,$E67)=0,"TIPO PTT INVÁLIDO","OK"),"OK")))))</f>
        <v/>
      </c>
      <c r="X67" s="52"/>
    </row>
    <row r="68" ht="15.75" customHeight="1">
      <c r="A68" s="52"/>
      <c r="B68" s="28" t="str">
        <f>IF($A68="","",IFERROR(VLOOKUP($A68,'Resumo por docente'!$A$8:$B$57,2,FALSE),""))</f>
        <v/>
      </c>
      <c r="C68" s="38"/>
      <c r="D68" s="57"/>
      <c r="E68" s="38"/>
      <c r="F68" s="52"/>
      <c r="G68" s="38"/>
      <c r="H68" s="38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48" t="str">
        <f>IF($A68="","",IF(OR($C68="",$D68="",$E68="",$F68=""),"INCOMPLETO",IF(OR($D68&lt;2021,$D68&gt;2026),"ANO FORA DA JANELA",IF(OR(LOWER($U68)&lt;&gt;"sim",LOWER($V68)&lt;&gt;"sim",$G68="",$H68="",$J68="",$K68="",$M68="",$N68="",$Q68="",$R68="",$S68=""),"INCOMPLETO",IF(LEFT($C68,3)="PTT",IF(COUNTIF('Estratos e PTTs'!$B$15:$B$30,$E68)=0,"TIPO PTT INVÁLIDO","OK"),"OK")))))</f>
        <v/>
      </c>
      <c r="X68" s="52"/>
    </row>
    <row r="69" ht="15.75" customHeight="1">
      <c r="A69" s="52"/>
      <c r="B69" s="28" t="str">
        <f>IF($A69="","",IFERROR(VLOOKUP($A69,'Resumo por docente'!$A$8:$B$57,2,FALSE),""))</f>
        <v/>
      </c>
      <c r="C69" s="38"/>
      <c r="D69" s="57"/>
      <c r="E69" s="38"/>
      <c r="F69" s="52"/>
      <c r="G69" s="38"/>
      <c r="H69" s="38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48" t="str">
        <f>IF($A69="","",IF(OR($C69="",$D69="",$E69="",$F69=""),"INCOMPLETO",IF(OR($D69&lt;2021,$D69&gt;2026),"ANO FORA DA JANELA",IF(OR(LOWER($U69)&lt;&gt;"sim",LOWER($V69)&lt;&gt;"sim",$G69="",$H69="",$J69="",$K69="",$M69="",$N69="",$Q69="",$R69="",$S69=""),"INCOMPLETO",IF(LEFT($C69,3)="PTT",IF(COUNTIF('Estratos e PTTs'!$B$15:$B$30,$E69)=0,"TIPO PTT INVÁLIDO","OK"),"OK")))))</f>
        <v/>
      </c>
      <c r="X69" s="52"/>
    </row>
    <row r="70" ht="15.75" customHeight="1">
      <c r="A70" s="52"/>
      <c r="B70" s="28" t="str">
        <f>IF($A70="","",IFERROR(VLOOKUP($A70,'Resumo por docente'!$A$8:$B$57,2,FALSE),""))</f>
        <v/>
      </c>
      <c r="C70" s="38"/>
      <c r="D70" s="57"/>
      <c r="E70" s="38"/>
      <c r="F70" s="52"/>
      <c r="G70" s="38"/>
      <c r="H70" s="38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48" t="str">
        <f>IF($A70="","",IF(OR($C70="",$D70="",$E70="",$F70=""),"INCOMPLETO",IF(OR($D70&lt;2021,$D70&gt;2026),"ANO FORA DA JANELA",IF(OR(LOWER($U70)&lt;&gt;"sim",LOWER($V70)&lt;&gt;"sim",$G70="",$H70="",$J70="",$K70="",$M70="",$N70="",$Q70="",$R70="",$S70=""),"INCOMPLETO",IF(LEFT($C70,3)="PTT",IF(COUNTIF('Estratos e PTTs'!$B$15:$B$30,$E70)=0,"TIPO PTT INVÁLIDO","OK"),"OK")))))</f>
        <v/>
      </c>
      <c r="X70" s="52"/>
    </row>
    <row r="71" ht="15.75" customHeight="1">
      <c r="A71" s="52"/>
      <c r="B71" s="28" t="str">
        <f>IF($A71="","",IFERROR(VLOOKUP($A71,'Resumo por docente'!$A$8:$B$57,2,FALSE),""))</f>
        <v/>
      </c>
      <c r="C71" s="38"/>
      <c r="D71" s="57"/>
      <c r="E71" s="38"/>
      <c r="F71" s="52"/>
      <c r="G71" s="38"/>
      <c r="H71" s="38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48" t="str">
        <f>IF($A71="","",IF(OR($C71="",$D71="",$E71="",$F71=""),"INCOMPLETO",IF(OR($D71&lt;2021,$D71&gt;2026),"ANO FORA DA JANELA",IF(OR(LOWER($U71)&lt;&gt;"sim",LOWER($V71)&lt;&gt;"sim",$G71="",$H71="",$J71="",$K71="",$M71="",$N71="",$Q71="",$R71="",$S71=""),"INCOMPLETO",IF(LEFT($C71,3)="PTT",IF(COUNTIF('Estratos e PTTs'!$B$15:$B$30,$E71)=0,"TIPO PTT INVÁLIDO","OK"),"OK")))))</f>
        <v/>
      </c>
      <c r="X71" s="52"/>
    </row>
    <row r="72" ht="15.75" customHeight="1">
      <c r="A72" s="52"/>
      <c r="B72" s="28" t="str">
        <f>IF($A72="","",IFERROR(VLOOKUP($A72,'Resumo por docente'!$A$8:$B$57,2,FALSE),""))</f>
        <v/>
      </c>
      <c r="C72" s="38"/>
      <c r="D72" s="57"/>
      <c r="E72" s="38"/>
      <c r="F72" s="52"/>
      <c r="G72" s="38"/>
      <c r="H72" s="38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48" t="str">
        <f>IF($A72="","",IF(OR($C72="",$D72="",$E72="",$F72=""),"INCOMPLETO",IF(OR($D72&lt;2021,$D72&gt;2026),"ANO FORA DA JANELA",IF(OR(LOWER($U72)&lt;&gt;"sim",LOWER($V72)&lt;&gt;"sim",$G72="",$H72="",$J72="",$K72="",$M72="",$N72="",$Q72="",$R72="",$S72=""),"INCOMPLETO",IF(LEFT($C72,3)="PTT",IF(COUNTIF('Estratos e PTTs'!$B$15:$B$30,$E72)=0,"TIPO PTT INVÁLIDO","OK"),"OK")))))</f>
        <v/>
      </c>
      <c r="X72" s="52"/>
    </row>
    <row r="73" ht="15.75" customHeight="1">
      <c r="A73" s="52"/>
      <c r="B73" s="28" t="str">
        <f>IF($A73="","",IFERROR(VLOOKUP($A73,'Resumo por docente'!$A$8:$B$57,2,FALSE),""))</f>
        <v/>
      </c>
      <c r="C73" s="38"/>
      <c r="D73" s="57"/>
      <c r="E73" s="38"/>
      <c r="F73" s="52"/>
      <c r="G73" s="38"/>
      <c r="H73" s="38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48" t="str">
        <f>IF($A73="","",IF(OR($C73="",$D73="",$E73="",$F73=""),"INCOMPLETO",IF(OR($D73&lt;2021,$D73&gt;2026),"ANO FORA DA JANELA",IF(OR(LOWER($U73)&lt;&gt;"sim",LOWER($V73)&lt;&gt;"sim",$G73="",$H73="",$J73="",$K73="",$M73="",$N73="",$Q73="",$R73="",$S73=""),"INCOMPLETO",IF(LEFT($C73,3)="PTT",IF(COUNTIF('Estratos e PTTs'!$B$15:$B$30,$E73)=0,"TIPO PTT INVÁLIDO","OK"),"OK")))))</f>
        <v/>
      </c>
      <c r="X73" s="52"/>
    </row>
    <row r="74" ht="15.75" customHeight="1">
      <c r="A74" s="52"/>
      <c r="B74" s="28" t="str">
        <f>IF($A74="","",IFERROR(VLOOKUP($A74,'Resumo por docente'!$A$8:$B$57,2,FALSE),""))</f>
        <v/>
      </c>
      <c r="C74" s="38"/>
      <c r="D74" s="57"/>
      <c r="E74" s="38"/>
      <c r="F74" s="52"/>
      <c r="G74" s="38"/>
      <c r="H74" s="38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48" t="str">
        <f>IF($A74="","",IF(OR($C74="",$D74="",$E74="",$F74=""),"INCOMPLETO",IF(OR($D74&lt;2021,$D74&gt;2026),"ANO FORA DA JANELA",IF(OR(LOWER($U74)&lt;&gt;"sim",LOWER($V74)&lt;&gt;"sim",$G74="",$H74="",$J74="",$K74="",$M74="",$N74="",$Q74="",$R74="",$S74=""),"INCOMPLETO",IF(LEFT($C74,3)="PTT",IF(COUNTIF('Estratos e PTTs'!$B$15:$B$30,$E74)=0,"TIPO PTT INVÁLIDO","OK"),"OK")))))</f>
        <v/>
      </c>
      <c r="X74" s="52"/>
    </row>
    <row r="75" ht="15.75" customHeight="1">
      <c r="A75" s="52"/>
      <c r="B75" s="28" t="str">
        <f>IF($A75="","",IFERROR(VLOOKUP($A75,'Resumo por docente'!$A$8:$B$57,2,FALSE),""))</f>
        <v/>
      </c>
      <c r="C75" s="38"/>
      <c r="D75" s="57"/>
      <c r="E75" s="38"/>
      <c r="F75" s="52"/>
      <c r="G75" s="38"/>
      <c r="H75" s="38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48" t="str">
        <f>IF($A75="","",IF(OR($C75="",$D75="",$E75="",$F75=""),"INCOMPLETO",IF(OR($D75&lt;2021,$D75&gt;2026),"ANO FORA DA JANELA",IF(OR(LOWER($U75)&lt;&gt;"sim",LOWER($V75)&lt;&gt;"sim",$G75="",$H75="",$J75="",$K75="",$M75="",$N75="",$Q75="",$R75="",$S75=""),"INCOMPLETO",IF(LEFT($C75,3)="PTT",IF(COUNTIF('Estratos e PTTs'!$B$15:$B$30,$E75)=0,"TIPO PTT INVÁLIDO","OK"),"OK")))))</f>
        <v/>
      </c>
      <c r="X75" s="52"/>
    </row>
    <row r="76" ht="15.75" customHeight="1">
      <c r="A76" s="52"/>
      <c r="B76" s="28" t="str">
        <f>IF($A76="","",IFERROR(VLOOKUP($A76,'Resumo por docente'!$A$8:$B$57,2,FALSE),""))</f>
        <v/>
      </c>
      <c r="C76" s="38"/>
      <c r="D76" s="57"/>
      <c r="E76" s="38"/>
      <c r="F76" s="52"/>
      <c r="G76" s="38"/>
      <c r="H76" s="38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48" t="str">
        <f>IF($A76="","",IF(OR($C76="",$D76="",$E76="",$F76=""),"INCOMPLETO",IF(OR($D76&lt;2021,$D76&gt;2026),"ANO FORA DA JANELA",IF(OR(LOWER($U76)&lt;&gt;"sim",LOWER($V76)&lt;&gt;"sim",$G76="",$H76="",$J76="",$K76="",$M76="",$N76="",$Q76="",$R76="",$S76=""),"INCOMPLETO",IF(LEFT($C76,3)="PTT",IF(COUNTIF('Estratos e PTTs'!$B$15:$B$30,$E76)=0,"TIPO PTT INVÁLIDO","OK"),"OK")))))</f>
        <v/>
      </c>
      <c r="X76" s="52"/>
    </row>
    <row r="77" ht="15.75" customHeight="1">
      <c r="A77" s="52"/>
      <c r="B77" s="28" t="str">
        <f>IF($A77="","",IFERROR(VLOOKUP($A77,'Resumo por docente'!$A$8:$B$57,2,FALSE),""))</f>
        <v/>
      </c>
      <c r="C77" s="38"/>
      <c r="D77" s="57"/>
      <c r="E77" s="38"/>
      <c r="F77" s="52"/>
      <c r="G77" s="38"/>
      <c r="H77" s="38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48" t="str">
        <f>IF($A77="","",IF(OR($C77="",$D77="",$E77="",$F77=""),"INCOMPLETO",IF(OR($D77&lt;2021,$D77&gt;2026),"ANO FORA DA JANELA",IF(OR(LOWER($U77)&lt;&gt;"sim",LOWER($V77)&lt;&gt;"sim",$G77="",$H77="",$J77="",$K77="",$M77="",$N77="",$Q77="",$R77="",$S77=""),"INCOMPLETO",IF(LEFT($C77,3)="PTT",IF(COUNTIF('Estratos e PTTs'!$B$15:$B$30,$E77)=0,"TIPO PTT INVÁLIDO","OK"),"OK")))))</f>
        <v/>
      </c>
      <c r="X77" s="52"/>
    </row>
    <row r="78" ht="15.75" customHeight="1">
      <c r="A78" s="52"/>
      <c r="B78" s="28" t="str">
        <f>IF($A78="","",IFERROR(VLOOKUP($A78,'Resumo por docente'!$A$8:$B$57,2,FALSE),""))</f>
        <v/>
      </c>
      <c r="C78" s="38"/>
      <c r="D78" s="57"/>
      <c r="E78" s="38"/>
      <c r="F78" s="52"/>
      <c r="G78" s="38"/>
      <c r="H78" s="38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48" t="str">
        <f>IF($A78="","",IF(OR($C78="",$D78="",$E78="",$F78=""),"INCOMPLETO",IF(OR($D78&lt;2021,$D78&gt;2026),"ANO FORA DA JANELA",IF(OR(LOWER($U78)&lt;&gt;"sim",LOWER($V78)&lt;&gt;"sim",$G78="",$H78="",$J78="",$K78="",$M78="",$N78="",$Q78="",$R78="",$S78=""),"INCOMPLETO",IF(LEFT($C78,3)="PTT",IF(COUNTIF('Estratos e PTTs'!$B$15:$B$30,$E78)=0,"TIPO PTT INVÁLIDO","OK"),"OK")))))</f>
        <v/>
      </c>
      <c r="X78" s="52"/>
    </row>
    <row r="79" ht="15.75" customHeight="1">
      <c r="A79" s="52"/>
      <c r="B79" s="28" t="str">
        <f>IF($A79="","",IFERROR(VLOOKUP($A79,'Resumo por docente'!$A$8:$B$57,2,FALSE),""))</f>
        <v/>
      </c>
      <c r="C79" s="38"/>
      <c r="D79" s="57"/>
      <c r="E79" s="38"/>
      <c r="F79" s="52"/>
      <c r="G79" s="38"/>
      <c r="H79" s="38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48" t="str">
        <f>IF($A79="","",IF(OR($C79="",$D79="",$E79="",$F79=""),"INCOMPLETO",IF(OR($D79&lt;2021,$D79&gt;2026),"ANO FORA DA JANELA",IF(OR(LOWER($U79)&lt;&gt;"sim",LOWER($V79)&lt;&gt;"sim",$G79="",$H79="",$J79="",$K79="",$M79="",$N79="",$Q79="",$R79="",$S79=""),"INCOMPLETO",IF(LEFT($C79,3)="PTT",IF(COUNTIF('Estratos e PTTs'!$B$15:$B$30,$E79)=0,"TIPO PTT INVÁLIDO","OK"),"OK")))))</f>
        <v/>
      </c>
      <c r="X79" s="52"/>
    </row>
    <row r="80" ht="15.75" customHeight="1">
      <c r="A80" s="52"/>
      <c r="B80" s="28" t="str">
        <f>IF($A80="","",IFERROR(VLOOKUP($A80,'Resumo por docente'!$A$8:$B$57,2,FALSE),""))</f>
        <v/>
      </c>
      <c r="C80" s="38"/>
      <c r="D80" s="57"/>
      <c r="E80" s="38"/>
      <c r="F80" s="52"/>
      <c r="G80" s="38"/>
      <c r="H80" s="38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48" t="str">
        <f>IF($A80="","",IF(OR($C80="",$D80="",$E80="",$F80=""),"INCOMPLETO",IF(OR($D80&lt;2021,$D80&gt;2026),"ANO FORA DA JANELA",IF(OR(LOWER($U80)&lt;&gt;"sim",LOWER($V80)&lt;&gt;"sim",$G80="",$H80="",$J80="",$K80="",$M80="",$N80="",$Q80="",$R80="",$S80=""),"INCOMPLETO",IF(LEFT($C80,3)="PTT",IF(COUNTIF('Estratos e PTTs'!$B$15:$B$30,$E80)=0,"TIPO PTT INVÁLIDO","OK"),"OK")))))</f>
        <v/>
      </c>
      <c r="X80" s="52"/>
    </row>
    <row r="81" ht="15.75" customHeight="1">
      <c r="A81" s="52"/>
      <c r="B81" s="28" t="str">
        <f>IF($A81="","",IFERROR(VLOOKUP($A81,'Resumo por docente'!$A$8:$B$57,2,FALSE),""))</f>
        <v/>
      </c>
      <c r="C81" s="38"/>
      <c r="D81" s="57"/>
      <c r="E81" s="38"/>
      <c r="F81" s="52"/>
      <c r="G81" s="38"/>
      <c r="H81" s="38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48" t="str">
        <f>IF($A81="","",IF(OR($C81="",$D81="",$E81="",$F81=""),"INCOMPLETO",IF(OR($D81&lt;2021,$D81&gt;2026),"ANO FORA DA JANELA",IF(OR(LOWER($U81)&lt;&gt;"sim",LOWER($V81)&lt;&gt;"sim",$G81="",$H81="",$J81="",$K81="",$M81="",$N81="",$Q81="",$R81="",$S81=""),"INCOMPLETO",IF(LEFT($C81,3)="PTT",IF(COUNTIF('Estratos e PTTs'!$B$15:$B$30,$E81)=0,"TIPO PTT INVÁLIDO","OK"),"OK")))))</f>
        <v/>
      </c>
      <c r="X81" s="52"/>
    </row>
    <row r="82" ht="15.75" customHeight="1">
      <c r="A82" s="52"/>
      <c r="B82" s="28" t="str">
        <f>IF($A82="","",IFERROR(VLOOKUP($A82,'Resumo por docente'!$A$8:$B$57,2,FALSE),""))</f>
        <v/>
      </c>
      <c r="C82" s="38"/>
      <c r="D82" s="57"/>
      <c r="E82" s="38"/>
      <c r="F82" s="52"/>
      <c r="G82" s="38"/>
      <c r="H82" s="38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48" t="str">
        <f>IF($A82="","",IF(OR($C82="",$D82="",$E82="",$F82=""),"INCOMPLETO",IF(OR($D82&lt;2021,$D82&gt;2026),"ANO FORA DA JANELA",IF(OR(LOWER($U82)&lt;&gt;"sim",LOWER($V82)&lt;&gt;"sim",$G82="",$H82="",$J82="",$K82="",$M82="",$N82="",$Q82="",$R82="",$S82=""),"INCOMPLETO",IF(LEFT($C82,3)="PTT",IF(COUNTIF('Estratos e PTTs'!$B$15:$B$30,$E82)=0,"TIPO PTT INVÁLIDO","OK"),"OK")))))</f>
        <v/>
      </c>
      <c r="X82" s="52"/>
    </row>
    <row r="83" ht="15.75" customHeight="1">
      <c r="A83" s="52"/>
      <c r="B83" s="28" t="str">
        <f>IF($A83="","",IFERROR(VLOOKUP($A83,'Resumo por docente'!$A$8:$B$57,2,FALSE),""))</f>
        <v/>
      </c>
      <c r="C83" s="38"/>
      <c r="D83" s="57"/>
      <c r="E83" s="38"/>
      <c r="F83" s="52"/>
      <c r="G83" s="38"/>
      <c r="H83" s="38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48" t="str">
        <f>IF($A83="","",IF(OR($C83="",$D83="",$E83="",$F83=""),"INCOMPLETO",IF(OR($D83&lt;2021,$D83&gt;2026),"ANO FORA DA JANELA",IF(OR(LOWER($U83)&lt;&gt;"sim",LOWER($V83)&lt;&gt;"sim",$G83="",$H83="",$J83="",$K83="",$M83="",$N83="",$Q83="",$R83="",$S83=""),"INCOMPLETO",IF(LEFT($C83,3)="PTT",IF(COUNTIF('Estratos e PTTs'!$B$15:$B$30,$E83)=0,"TIPO PTT INVÁLIDO","OK"),"OK")))))</f>
        <v/>
      </c>
      <c r="X83" s="52"/>
    </row>
    <row r="84" ht="15.75" customHeight="1">
      <c r="A84" s="52"/>
      <c r="B84" s="28" t="str">
        <f>IF($A84="","",IFERROR(VLOOKUP($A84,'Resumo por docente'!$A$8:$B$57,2,FALSE),""))</f>
        <v/>
      </c>
      <c r="C84" s="38"/>
      <c r="D84" s="57"/>
      <c r="E84" s="38"/>
      <c r="F84" s="52"/>
      <c r="G84" s="38"/>
      <c r="H84" s="38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48" t="str">
        <f>IF($A84="","",IF(OR($C84="",$D84="",$E84="",$F84=""),"INCOMPLETO",IF(OR($D84&lt;2021,$D84&gt;2026),"ANO FORA DA JANELA",IF(OR(LOWER($U84)&lt;&gt;"sim",LOWER($V84)&lt;&gt;"sim",$G84="",$H84="",$J84="",$K84="",$M84="",$N84="",$Q84="",$R84="",$S84=""),"INCOMPLETO",IF(LEFT($C84,3)="PTT",IF(COUNTIF('Estratos e PTTs'!$B$15:$B$30,$E84)=0,"TIPO PTT INVÁLIDO","OK"),"OK")))))</f>
        <v/>
      </c>
      <c r="X84" s="52"/>
    </row>
    <row r="85" ht="15.75" customHeight="1">
      <c r="A85" s="52"/>
      <c r="B85" s="28" t="str">
        <f>IF($A85="","",IFERROR(VLOOKUP($A85,'Resumo por docente'!$A$8:$B$57,2,FALSE),""))</f>
        <v/>
      </c>
      <c r="C85" s="38"/>
      <c r="D85" s="57"/>
      <c r="E85" s="38"/>
      <c r="F85" s="52"/>
      <c r="G85" s="38"/>
      <c r="H85" s="38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48" t="str">
        <f>IF($A85="","",IF(OR($C85="",$D85="",$E85="",$F85=""),"INCOMPLETO",IF(OR($D85&lt;2021,$D85&gt;2026),"ANO FORA DA JANELA",IF(OR(LOWER($U85)&lt;&gt;"sim",LOWER($V85)&lt;&gt;"sim",$G85="",$H85="",$J85="",$K85="",$M85="",$N85="",$Q85="",$R85="",$S85=""),"INCOMPLETO",IF(LEFT($C85,3)="PTT",IF(COUNTIF('Estratos e PTTs'!$B$15:$B$30,$E85)=0,"TIPO PTT INVÁLIDO","OK"),"OK")))))</f>
        <v/>
      </c>
      <c r="X85" s="52"/>
    </row>
    <row r="86" ht="15.75" customHeight="1">
      <c r="A86" s="52"/>
      <c r="B86" s="28" t="str">
        <f>IF($A86="","",IFERROR(VLOOKUP($A86,'Resumo por docente'!$A$8:$B$57,2,FALSE),""))</f>
        <v/>
      </c>
      <c r="C86" s="38"/>
      <c r="D86" s="57"/>
      <c r="E86" s="38"/>
      <c r="F86" s="52"/>
      <c r="G86" s="38"/>
      <c r="H86" s="38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48" t="str">
        <f>IF($A86="","",IF(OR($C86="",$D86="",$E86="",$F86=""),"INCOMPLETO",IF(OR($D86&lt;2021,$D86&gt;2026),"ANO FORA DA JANELA",IF(OR(LOWER($U86)&lt;&gt;"sim",LOWER($V86)&lt;&gt;"sim",$G86="",$H86="",$J86="",$K86="",$M86="",$N86="",$Q86="",$R86="",$S86=""),"INCOMPLETO",IF(LEFT($C86,3)="PTT",IF(COUNTIF('Estratos e PTTs'!$B$15:$B$30,$E86)=0,"TIPO PTT INVÁLIDO","OK"),"OK")))))</f>
        <v/>
      </c>
      <c r="X86" s="52"/>
    </row>
    <row r="87" ht="15.75" customHeight="1">
      <c r="A87" s="52"/>
      <c r="B87" s="28" t="str">
        <f>IF($A87="","",IFERROR(VLOOKUP($A87,'Resumo por docente'!$A$8:$B$57,2,FALSE),""))</f>
        <v/>
      </c>
      <c r="C87" s="38"/>
      <c r="D87" s="57"/>
      <c r="E87" s="38"/>
      <c r="F87" s="52"/>
      <c r="G87" s="38"/>
      <c r="H87" s="38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48" t="str">
        <f>IF($A87="","",IF(OR($C87="",$D87="",$E87="",$F87=""),"INCOMPLETO",IF(OR($D87&lt;2021,$D87&gt;2026),"ANO FORA DA JANELA",IF(OR(LOWER($U87)&lt;&gt;"sim",LOWER($V87)&lt;&gt;"sim",$G87="",$H87="",$J87="",$K87="",$M87="",$N87="",$Q87="",$R87="",$S87=""),"INCOMPLETO",IF(LEFT($C87,3)="PTT",IF(COUNTIF('Estratos e PTTs'!$B$15:$B$30,$E87)=0,"TIPO PTT INVÁLIDO","OK"),"OK")))))</f>
        <v/>
      </c>
      <c r="X87" s="52"/>
    </row>
    <row r="88" ht="15.75" customHeight="1">
      <c r="A88" s="52"/>
      <c r="B88" s="28" t="str">
        <f>IF($A88="","",IFERROR(VLOOKUP($A88,'Resumo por docente'!$A$8:$B$57,2,FALSE),""))</f>
        <v/>
      </c>
      <c r="C88" s="38"/>
      <c r="D88" s="57"/>
      <c r="E88" s="38"/>
      <c r="F88" s="52"/>
      <c r="G88" s="38"/>
      <c r="H88" s="38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48" t="str">
        <f>IF($A88="","",IF(OR($C88="",$D88="",$E88="",$F88=""),"INCOMPLETO",IF(OR($D88&lt;2021,$D88&gt;2026),"ANO FORA DA JANELA",IF(OR(LOWER($U88)&lt;&gt;"sim",LOWER($V88)&lt;&gt;"sim",$G88="",$H88="",$J88="",$K88="",$M88="",$N88="",$Q88="",$R88="",$S88=""),"INCOMPLETO",IF(LEFT($C88,3)="PTT",IF(COUNTIF('Estratos e PTTs'!$B$15:$B$30,$E88)=0,"TIPO PTT INVÁLIDO","OK"),"OK")))))</f>
        <v/>
      </c>
      <c r="X88" s="52"/>
    </row>
    <row r="89" ht="15.75" customHeight="1">
      <c r="A89" s="52"/>
      <c r="B89" s="28" t="str">
        <f>IF($A89="","",IFERROR(VLOOKUP($A89,'Resumo por docente'!$A$8:$B$57,2,FALSE),""))</f>
        <v/>
      </c>
      <c r="C89" s="38"/>
      <c r="D89" s="57"/>
      <c r="E89" s="38"/>
      <c r="F89" s="52"/>
      <c r="G89" s="38"/>
      <c r="H89" s="38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48" t="str">
        <f>IF($A89="","",IF(OR($C89="",$D89="",$E89="",$F89=""),"INCOMPLETO",IF(OR($D89&lt;2021,$D89&gt;2026),"ANO FORA DA JANELA",IF(OR(LOWER($U89)&lt;&gt;"sim",LOWER($V89)&lt;&gt;"sim",$G89="",$H89="",$J89="",$K89="",$M89="",$N89="",$Q89="",$R89="",$S89=""),"INCOMPLETO",IF(LEFT($C89,3)="PTT",IF(COUNTIF('Estratos e PTTs'!$B$15:$B$30,$E89)=0,"TIPO PTT INVÁLIDO","OK"),"OK")))))</f>
        <v/>
      </c>
      <c r="X89" s="52"/>
    </row>
    <row r="90" ht="15.75" customHeight="1">
      <c r="A90" s="52"/>
      <c r="B90" s="28" t="str">
        <f>IF($A90="","",IFERROR(VLOOKUP($A90,'Resumo por docente'!$A$8:$B$57,2,FALSE),""))</f>
        <v/>
      </c>
      <c r="C90" s="38"/>
      <c r="D90" s="57"/>
      <c r="E90" s="38"/>
      <c r="F90" s="52"/>
      <c r="G90" s="38"/>
      <c r="H90" s="38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48" t="str">
        <f>IF($A90="","",IF(OR($C90="",$D90="",$E90="",$F90=""),"INCOMPLETO",IF(OR($D90&lt;2021,$D90&gt;2026),"ANO FORA DA JANELA",IF(OR(LOWER($U90)&lt;&gt;"sim",LOWER($V90)&lt;&gt;"sim",$G90="",$H90="",$J90="",$K90="",$M90="",$N90="",$Q90="",$R90="",$S90=""),"INCOMPLETO",IF(LEFT($C90,3)="PTT",IF(COUNTIF('Estratos e PTTs'!$B$15:$B$30,$E90)=0,"TIPO PTT INVÁLIDO","OK"),"OK")))))</f>
        <v/>
      </c>
      <c r="X90" s="52"/>
    </row>
    <row r="91" ht="15.75" customHeight="1">
      <c r="A91" s="52"/>
      <c r="B91" s="28" t="str">
        <f>IF($A91="","",IFERROR(VLOOKUP($A91,'Resumo por docente'!$A$8:$B$57,2,FALSE),""))</f>
        <v/>
      </c>
      <c r="C91" s="38"/>
      <c r="D91" s="57"/>
      <c r="E91" s="38"/>
      <c r="F91" s="52"/>
      <c r="G91" s="38"/>
      <c r="H91" s="38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48" t="str">
        <f>IF($A91="","",IF(OR($C91="",$D91="",$E91="",$F91=""),"INCOMPLETO",IF(OR($D91&lt;2021,$D91&gt;2026),"ANO FORA DA JANELA",IF(OR(LOWER($U91)&lt;&gt;"sim",LOWER($V91)&lt;&gt;"sim",$G91="",$H91="",$J91="",$K91="",$M91="",$N91="",$Q91="",$R91="",$S91=""),"INCOMPLETO",IF(LEFT($C91,3)="PTT",IF(COUNTIF('Estratos e PTTs'!$B$15:$B$30,$E91)=0,"TIPO PTT INVÁLIDO","OK"),"OK")))))</f>
        <v/>
      </c>
      <c r="X91" s="52"/>
    </row>
    <row r="92" ht="15.75" customHeight="1">
      <c r="A92" s="52"/>
      <c r="B92" s="28" t="str">
        <f>IF($A92="","",IFERROR(VLOOKUP($A92,'Resumo por docente'!$A$8:$B$57,2,FALSE),""))</f>
        <v/>
      </c>
      <c r="C92" s="38"/>
      <c r="D92" s="57"/>
      <c r="E92" s="38"/>
      <c r="F92" s="52"/>
      <c r="G92" s="38"/>
      <c r="H92" s="38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48" t="str">
        <f>IF($A92="","",IF(OR($C92="",$D92="",$E92="",$F92=""),"INCOMPLETO",IF(OR($D92&lt;2021,$D92&gt;2026),"ANO FORA DA JANELA",IF(OR(LOWER($U92)&lt;&gt;"sim",LOWER($V92)&lt;&gt;"sim",$G92="",$H92="",$J92="",$K92="",$M92="",$N92="",$Q92="",$R92="",$S92=""),"INCOMPLETO",IF(LEFT($C92,3)="PTT",IF(COUNTIF('Estratos e PTTs'!$B$15:$B$30,$E92)=0,"TIPO PTT INVÁLIDO","OK"),"OK")))))</f>
        <v/>
      </c>
      <c r="X92" s="52"/>
    </row>
    <row r="93" ht="15.75" customHeight="1">
      <c r="A93" s="52"/>
      <c r="B93" s="28" t="str">
        <f>IF($A93="","",IFERROR(VLOOKUP($A93,'Resumo por docente'!$A$8:$B$57,2,FALSE),""))</f>
        <v/>
      </c>
      <c r="C93" s="38"/>
      <c r="D93" s="57"/>
      <c r="E93" s="38"/>
      <c r="F93" s="52"/>
      <c r="G93" s="38"/>
      <c r="H93" s="38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48" t="str">
        <f>IF($A93="","",IF(OR($C93="",$D93="",$E93="",$F93=""),"INCOMPLETO",IF(OR($D93&lt;2021,$D93&gt;2026),"ANO FORA DA JANELA",IF(OR(LOWER($U93)&lt;&gt;"sim",LOWER($V93)&lt;&gt;"sim",$G93="",$H93="",$J93="",$K93="",$M93="",$N93="",$Q93="",$R93="",$S93=""),"INCOMPLETO",IF(LEFT($C93,3)="PTT",IF(COUNTIF('Estratos e PTTs'!$B$15:$B$30,$E93)=0,"TIPO PTT INVÁLIDO","OK"),"OK")))))</f>
        <v/>
      </c>
      <c r="X93" s="52"/>
    </row>
    <row r="94" ht="15.75" customHeight="1">
      <c r="A94" s="52"/>
      <c r="B94" s="28" t="str">
        <f>IF($A94="","",IFERROR(VLOOKUP($A94,'Resumo por docente'!$A$8:$B$57,2,FALSE),""))</f>
        <v/>
      </c>
      <c r="C94" s="38"/>
      <c r="D94" s="57"/>
      <c r="E94" s="38"/>
      <c r="F94" s="52"/>
      <c r="G94" s="38"/>
      <c r="H94" s="38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48" t="str">
        <f>IF($A94="","",IF(OR($C94="",$D94="",$E94="",$F94=""),"INCOMPLETO",IF(OR($D94&lt;2021,$D94&gt;2026),"ANO FORA DA JANELA",IF(OR(LOWER($U94)&lt;&gt;"sim",LOWER($V94)&lt;&gt;"sim",$G94="",$H94="",$J94="",$K94="",$M94="",$N94="",$Q94="",$R94="",$S94=""),"INCOMPLETO",IF(LEFT($C94,3)="PTT",IF(COUNTIF('Estratos e PTTs'!$B$15:$B$30,$E94)=0,"TIPO PTT INVÁLIDO","OK"),"OK")))))</f>
        <v/>
      </c>
      <c r="X94" s="52"/>
    </row>
    <row r="95" ht="15.75" customHeight="1">
      <c r="A95" s="52"/>
      <c r="B95" s="28" t="str">
        <f>IF($A95="","",IFERROR(VLOOKUP($A95,'Resumo por docente'!$A$8:$B$57,2,FALSE),""))</f>
        <v/>
      </c>
      <c r="C95" s="38"/>
      <c r="D95" s="57"/>
      <c r="E95" s="38"/>
      <c r="F95" s="52"/>
      <c r="G95" s="38"/>
      <c r="H95" s="38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48" t="str">
        <f>IF($A95="","",IF(OR($C95="",$D95="",$E95="",$F95=""),"INCOMPLETO",IF(OR($D95&lt;2021,$D95&gt;2026),"ANO FORA DA JANELA",IF(OR(LOWER($U95)&lt;&gt;"sim",LOWER($V95)&lt;&gt;"sim",$G95="",$H95="",$J95="",$K95="",$M95="",$N95="",$Q95="",$R95="",$S95=""),"INCOMPLETO",IF(LEFT($C95,3)="PTT",IF(COUNTIF('Estratos e PTTs'!$B$15:$B$30,$E95)=0,"TIPO PTT INVÁLIDO","OK"),"OK")))))</f>
        <v/>
      </c>
      <c r="X95" s="52"/>
    </row>
    <row r="96" ht="15.75" customHeight="1">
      <c r="A96" s="52"/>
      <c r="B96" s="28" t="str">
        <f>IF($A96="","",IFERROR(VLOOKUP($A96,'Resumo por docente'!$A$8:$B$57,2,FALSE),""))</f>
        <v/>
      </c>
      <c r="C96" s="38"/>
      <c r="D96" s="57"/>
      <c r="E96" s="38"/>
      <c r="F96" s="52"/>
      <c r="G96" s="38"/>
      <c r="H96" s="38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48" t="str">
        <f>IF($A96="","",IF(OR($C96="",$D96="",$E96="",$F96=""),"INCOMPLETO",IF(OR($D96&lt;2021,$D96&gt;2026),"ANO FORA DA JANELA",IF(OR(LOWER($U96)&lt;&gt;"sim",LOWER($V96)&lt;&gt;"sim",$G96="",$H96="",$J96="",$K96="",$M96="",$N96="",$Q96="",$R96="",$S96=""),"INCOMPLETO",IF(LEFT($C96,3)="PTT",IF(COUNTIF('Estratos e PTTs'!$B$15:$B$30,$E96)=0,"TIPO PTT INVÁLIDO","OK"),"OK")))))</f>
        <v/>
      </c>
      <c r="X96" s="52"/>
    </row>
    <row r="97" ht="15.75" customHeight="1">
      <c r="A97" s="52"/>
      <c r="B97" s="28" t="str">
        <f>IF($A97="","",IFERROR(VLOOKUP($A97,'Resumo por docente'!$A$8:$B$57,2,FALSE),""))</f>
        <v/>
      </c>
      <c r="C97" s="38"/>
      <c r="D97" s="57"/>
      <c r="E97" s="38"/>
      <c r="F97" s="52"/>
      <c r="G97" s="38"/>
      <c r="H97" s="38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48" t="str">
        <f>IF($A97="","",IF(OR($C97="",$D97="",$E97="",$F97=""),"INCOMPLETO",IF(OR($D97&lt;2021,$D97&gt;2026),"ANO FORA DA JANELA",IF(OR(LOWER($U97)&lt;&gt;"sim",LOWER($V97)&lt;&gt;"sim",$G97="",$H97="",$J97="",$K97="",$M97="",$N97="",$Q97="",$R97="",$S97=""),"INCOMPLETO",IF(LEFT($C97,3)="PTT",IF(COUNTIF('Estratos e PTTs'!$B$15:$B$30,$E97)=0,"TIPO PTT INVÁLIDO","OK"),"OK")))))</f>
        <v/>
      </c>
      <c r="X97" s="52"/>
    </row>
    <row r="98" ht="15.75" customHeight="1">
      <c r="A98" s="52"/>
      <c r="B98" s="28" t="str">
        <f>IF($A98="","",IFERROR(VLOOKUP($A98,'Resumo por docente'!$A$8:$B$57,2,FALSE),""))</f>
        <v/>
      </c>
      <c r="C98" s="38"/>
      <c r="D98" s="57"/>
      <c r="E98" s="38"/>
      <c r="F98" s="52"/>
      <c r="G98" s="38"/>
      <c r="H98" s="38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48" t="str">
        <f>IF($A98="","",IF(OR($C98="",$D98="",$E98="",$F98=""),"INCOMPLETO",IF(OR($D98&lt;2021,$D98&gt;2026),"ANO FORA DA JANELA",IF(OR(LOWER($U98)&lt;&gt;"sim",LOWER($V98)&lt;&gt;"sim",$G98="",$H98="",$J98="",$K98="",$M98="",$N98="",$Q98="",$R98="",$S98=""),"INCOMPLETO",IF(LEFT($C98,3)="PTT",IF(COUNTIF('Estratos e PTTs'!$B$15:$B$30,$E98)=0,"TIPO PTT INVÁLIDO","OK"),"OK")))))</f>
        <v/>
      </c>
      <c r="X98" s="52"/>
    </row>
    <row r="99" ht="15.75" customHeight="1">
      <c r="A99" s="52"/>
      <c r="B99" s="28" t="str">
        <f>IF($A99="","",IFERROR(VLOOKUP($A99,'Resumo por docente'!$A$8:$B$57,2,FALSE),""))</f>
        <v/>
      </c>
      <c r="C99" s="38"/>
      <c r="D99" s="57"/>
      <c r="E99" s="38"/>
      <c r="F99" s="52"/>
      <c r="G99" s="38"/>
      <c r="H99" s="38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48" t="str">
        <f>IF($A99="","",IF(OR($C99="",$D99="",$E99="",$F99=""),"INCOMPLETO",IF(OR($D99&lt;2021,$D99&gt;2026),"ANO FORA DA JANELA",IF(OR(LOWER($U99)&lt;&gt;"sim",LOWER($V99)&lt;&gt;"sim",$G99="",$H99="",$J99="",$K99="",$M99="",$N99="",$Q99="",$R99="",$S99=""),"INCOMPLETO",IF(LEFT($C99,3)="PTT",IF(COUNTIF('Estratos e PTTs'!$B$15:$B$30,$E99)=0,"TIPO PTT INVÁLIDO","OK"),"OK")))))</f>
        <v/>
      </c>
      <c r="X99" s="52"/>
    </row>
    <row r="100" ht="15.75" customHeight="1">
      <c r="A100" s="52"/>
      <c r="B100" s="28" t="str">
        <f>IF($A100="","",IFERROR(VLOOKUP($A100,'Resumo por docente'!$A$8:$B$57,2,FALSE),""))</f>
        <v/>
      </c>
      <c r="C100" s="38"/>
      <c r="D100" s="57"/>
      <c r="E100" s="38"/>
      <c r="F100" s="52"/>
      <c r="G100" s="38"/>
      <c r="H100" s="38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48" t="str">
        <f>IF($A100="","",IF(OR($C100="",$D100="",$E100="",$F100=""),"INCOMPLETO",IF(OR($D100&lt;2021,$D100&gt;2026),"ANO FORA DA JANELA",IF(OR(LOWER($U100)&lt;&gt;"sim",LOWER($V100)&lt;&gt;"sim",$G100="",$H100="",$J100="",$K100="",$M100="",$N100="",$Q100="",$R100="",$S100=""),"INCOMPLETO",IF(LEFT($C100,3)="PTT",IF(COUNTIF('Estratos e PTTs'!$B$15:$B$30,$E100)=0,"TIPO PTT INVÁLIDO","OK"),"OK")))))</f>
        <v/>
      </c>
      <c r="X100" s="52"/>
    </row>
    <row r="101" ht="15.75" customHeight="1">
      <c r="A101" s="52"/>
      <c r="B101" s="28" t="str">
        <f>IF($A101="","",IFERROR(VLOOKUP($A101,'Resumo por docente'!$A$8:$B$57,2,FALSE),""))</f>
        <v/>
      </c>
      <c r="C101" s="38"/>
      <c r="D101" s="57"/>
      <c r="E101" s="38"/>
      <c r="F101" s="52"/>
      <c r="G101" s="38"/>
      <c r="H101" s="38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48" t="str">
        <f>IF($A101="","",IF(OR($C101="",$D101="",$E101="",$F101=""),"INCOMPLETO",IF(OR($D101&lt;2021,$D101&gt;2026),"ANO FORA DA JANELA",IF(OR(LOWER($U101)&lt;&gt;"sim",LOWER($V101)&lt;&gt;"sim",$G101="",$H101="",$J101="",$K101="",$M101="",$N101="",$Q101="",$R101="",$S101=""),"INCOMPLETO",IF(LEFT($C101,3)="PTT",IF(COUNTIF('Estratos e PTTs'!$B$15:$B$30,$E101)=0,"TIPO PTT INVÁLIDO","OK"),"OK")))))</f>
        <v/>
      </c>
      <c r="X101" s="52"/>
    </row>
    <row r="102" ht="15.75" customHeight="1">
      <c r="A102" s="52"/>
      <c r="B102" s="28" t="str">
        <f>IF($A102="","",IFERROR(VLOOKUP($A102,'Resumo por docente'!$A$8:$B$57,2,FALSE),""))</f>
        <v/>
      </c>
      <c r="C102" s="38"/>
      <c r="D102" s="57"/>
      <c r="E102" s="38"/>
      <c r="F102" s="52"/>
      <c r="G102" s="38"/>
      <c r="H102" s="38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48" t="str">
        <f>IF($A102="","",IF(OR($C102="",$D102="",$E102="",$F102=""),"INCOMPLETO",IF(OR($D102&lt;2021,$D102&gt;2026),"ANO FORA DA JANELA",IF(OR(LOWER($U102)&lt;&gt;"sim",LOWER($V102)&lt;&gt;"sim",$G102="",$H102="",$J102="",$K102="",$M102="",$N102="",$Q102="",$R102="",$S102=""),"INCOMPLETO",IF(LEFT($C102,3)="PTT",IF(COUNTIF('Estratos e PTTs'!$B$15:$B$30,$E102)=0,"TIPO PTT INVÁLIDO","OK"),"OK")))))</f>
        <v/>
      </c>
      <c r="X102" s="52"/>
    </row>
    <row r="103" ht="15.75" customHeight="1">
      <c r="A103" s="52"/>
      <c r="B103" s="28" t="str">
        <f>IF($A103="","",IFERROR(VLOOKUP($A103,'Resumo por docente'!$A$8:$B$57,2,FALSE),""))</f>
        <v/>
      </c>
      <c r="C103" s="38"/>
      <c r="D103" s="57"/>
      <c r="E103" s="38"/>
      <c r="F103" s="52"/>
      <c r="G103" s="38"/>
      <c r="H103" s="38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48" t="str">
        <f>IF($A103="","",IF(OR($C103="",$D103="",$E103="",$F103=""),"INCOMPLETO",IF(OR($D103&lt;2021,$D103&gt;2026),"ANO FORA DA JANELA",IF(OR(LOWER($U103)&lt;&gt;"sim",LOWER($V103)&lt;&gt;"sim",$G103="",$H103="",$J103="",$K103="",$M103="",$N103="",$Q103="",$R103="",$S103=""),"INCOMPLETO",IF(LEFT($C103,3)="PTT",IF(COUNTIF('Estratos e PTTs'!$B$15:$B$30,$E103)=0,"TIPO PTT INVÁLIDO","OK"),"OK")))))</f>
        <v/>
      </c>
      <c r="X103" s="52"/>
    </row>
    <row r="104" ht="15.75" customHeight="1">
      <c r="A104" s="52"/>
      <c r="B104" s="28" t="str">
        <f>IF($A104="","",IFERROR(VLOOKUP($A104,'Resumo por docente'!$A$8:$B$57,2,FALSE),""))</f>
        <v/>
      </c>
      <c r="C104" s="38"/>
      <c r="D104" s="57"/>
      <c r="E104" s="38"/>
      <c r="F104" s="52"/>
      <c r="G104" s="38"/>
      <c r="H104" s="38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48" t="str">
        <f>IF($A104="","",IF(OR($C104="",$D104="",$E104="",$F104=""),"INCOMPLETO",IF(OR($D104&lt;2021,$D104&gt;2026),"ANO FORA DA JANELA",IF(OR(LOWER($U104)&lt;&gt;"sim",LOWER($V104)&lt;&gt;"sim",$G104="",$H104="",$J104="",$K104="",$M104="",$N104="",$Q104="",$R104="",$S104=""),"INCOMPLETO",IF(LEFT($C104,3)="PTT",IF(COUNTIF('Estratos e PTTs'!$B$15:$B$30,$E104)=0,"TIPO PTT INVÁLIDO","OK"),"OK")))))</f>
        <v/>
      </c>
      <c r="X104" s="52"/>
    </row>
    <row r="105" ht="15.75" customHeight="1">
      <c r="A105" s="52"/>
      <c r="B105" s="28" t="str">
        <f>IF($A105="","",IFERROR(VLOOKUP($A105,'Resumo por docente'!$A$8:$B$57,2,FALSE),""))</f>
        <v/>
      </c>
      <c r="C105" s="38"/>
      <c r="D105" s="57"/>
      <c r="E105" s="38"/>
      <c r="F105" s="52"/>
      <c r="G105" s="38"/>
      <c r="H105" s="38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48" t="str">
        <f>IF($A105="","",IF(OR($C105="",$D105="",$E105="",$F105=""),"INCOMPLETO",IF(OR($D105&lt;2021,$D105&gt;2026),"ANO FORA DA JANELA",IF(OR(LOWER($U105)&lt;&gt;"sim",LOWER($V105)&lt;&gt;"sim",$G105="",$H105="",$J105="",$K105="",$M105="",$N105="",$Q105="",$R105="",$S105=""),"INCOMPLETO",IF(LEFT($C105,3)="PTT",IF(COUNTIF('Estratos e PTTs'!$B$15:$B$30,$E105)=0,"TIPO PTT INVÁLIDO","OK"),"OK")))))</f>
        <v/>
      </c>
      <c r="X105" s="52"/>
    </row>
    <row r="106" ht="15.75" customHeight="1">
      <c r="A106" s="52"/>
      <c r="B106" s="28" t="str">
        <f>IF($A106="","",IFERROR(VLOOKUP($A106,'Resumo por docente'!$A$8:$B$57,2,FALSE),""))</f>
        <v/>
      </c>
      <c r="C106" s="38"/>
      <c r="D106" s="57"/>
      <c r="E106" s="38"/>
      <c r="F106" s="52"/>
      <c r="G106" s="38"/>
      <c r="H106" s="38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48" t="str">
        <f>IF($A106="","",IF(OR($C106="",$D106="",$E106="",$F106=""),"INCOMPLETO",IF(OR($D106&lt;2021,$D106&gt;2026),"ANO FORA DA JANELA",IF(OR(LOWER($U106)&lt;&gt;"sim",LOWER($V106)&lt;&gt;"sim",$G106="",$H106="",$J106="",$K106="",$M106="",$N106="",$Q106="",$R106="",$S106=""),"INCOMPLETO",IF(LEFT($C106,3)="PTT",IF(COUNTIF('Estratos e PTTs'!$B$15:$B$30,$E106)=0,"TIPO PTT INVÁLIDO","OK"),"OK")))))</f>
        <v/>
      </c>
      <c r="X106" s="52"/>
    </row>
    <row r="107" ht="15.75" customHeight="1">
      <c r="A107" s="52"/>
      <c r="B107" s="28" t="str">
        <f>IF($A107="","",IFERROR(VLOOKUP($A107,'Resumo por docente'!$A$8:$B$57,2,FALSE),""))</f>
        <v/>
      </c>
      <c r="C107" s="38"/>
      <c r="D107" s="57"/>
      <c r="E107" s="38"/>
      <c r="F107" s="52"/>
      <c r="G107" s="38"/>
      <c r="H107" s="38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48" t="str">
        <f>IF($A107="","",IF(OR($C107="",$D107="",$E107="",$F107=""),"INCOMPLETO",IF(OR($D107&lt;2021,$D107&gt;2026),"ANO FORA DA JANELA",IF(OR(LOWER($U107)&lt;&gt;"sim",LOWER($V107)&lt;&gt;"sim",$G107="",$H107="",$J107="",$K107="",$M107="",$N107="",$Q107="",$R107="",$S107=""),"INCOMPLETO",IF(LEFT($C107,3)="PTT",IF(COUNTIF('Estratos e PTTs'!$B$15:$B$30,$E107)=0,"TIPO PTT INVÁLIDO","OK"),"OK")))))</f>
        <v/>
      </c>
      <c r="X107" s="52"/>
    </row>
    <row r="108" ht="15.75" customHeight="1">
      <c r="A108" s="52"/>
      <c r="B108" s="28" t="str">
        <f>IF($A108="","",IFERROR(VLOOKUP($A108,'Resumo por docente'!$A$8:$B$57,2,FALSE),""))</f>
        <v/>
      </c>
      <c r="C108" s="38"/>
      <c r="D108" s="57"/>
      <c r="E108" s="38"/>
      <c r="F108" s="52"/>
      <c r="G108" s="38"/>
      <c r="H108" s="38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48" t="str">
        <f>IF($A108="","",IF(OR($C108="",$D108="",$E108="",$F108=""),"INCOMPLETO",IF(OR($D108&lt;2021,$D108&gt;2026),"ANO FORA DA JANELA",IF(OR(LOWER($U108)&lt;&gt;"sim",LOWER($V108)&lt;&gt;"sim",$G108="",$H108="",$J108="",$K108="",$M108="",$N108="",$Q108="",$R108="",$S108=""),"INCOMPLETO",IF(LEFT($C108,3)="PTT",IF(COUNTIF('Estratos e PTTs'!$B$15:$B$30,$E108)=0,"TIPO PTT INVÁLIDO","OK"),"OK")))))</f>
        <v/>
      </c>
      <c r="X108" s="52"/>
    </row>
    <row r="109" ht="15.75" customHeight="1">
      <c r="A109" s="52"/>
      <c r="B109" s="28" t="str">
        <f>IF($A109="","",IFERROR(VLOOKUP($A109,'Resumo por docente'!$A$8:$B$57,2,FALSE),""))</f>
        <v/>
      </c>
      <c r="C109" s="38"/>
      <c r="D109" s="57"/>
      <c r="E109" s="38"/>
      <c r="F109" s="52"/>
      <c r="G109" s="38"/>
      <c r="H109" s="38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48" t="str">
        <f>IF($A109="","",IF(OR($C109="",$D109="",$E109="",$F109=""),"INCOMPLETO",IF(OR($D109&lt;2021,$D109&gt;2026),"ANO FORA DA JANELA",IF(OR(LOWER($U109)&lt;&gt;"sim",LOWER($V109)&lt;&gt;"sim",$G109="",$H109="",$J109="",$K109="",$M109="",$N109="",$Q109="",$R109="",$S109=""),"INCOMPLETO",IF(LEFT($C109,3)="PTT",IF(COUNTIF('Estratos e PTTs'!$B$15:$B$30,$E109)=0,"TIPO PTT INVÁLIDO","OK"),"OK")))))</f>
        <v/>
      </c>
      <c r="X109" s="52"/>
    </row>
    <row r="110" ht="15.75" customHeight="1">
      <c r="A110" s="52"/>
      <c r="B110" s="28" t="str">
        <f>IF($A110="","",IFERROR(VLOOKUP($A110,'Resumo por docente'!$A$8:$B$57,2,FALSE),""))</f>
        <v/>
      </c>
      <c r="C110" s="38"/>
      <c r="D110" s="57"/>
      <c r="E110" s="38"/>
      <c r="F110" s="52"/>
      <c r="G110" s="38"/>
      <c r="H110" s="38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48" t="str">
        <f>IF($A110="","",IF(OR($C110="",$D110="",$E110="",$F110=""),"INCOMPLETO",IF(OR($D110&lt;2021,$D110&gt;2026),"ANO FORA DA JANELA",IF(OR(LOWER($U110)&lt;&gt;"sim",LOWER($V110)&lt;&gt;"sim",$G110="",$H110="",$J110="",$K110="",$M110="",$N110="",$Q110="",$R110="",$S110=""),"INCOMPLETO",IF(LEFT($C110,3)="PTT",IF(COUNTIF('Estratos e PTTs'!$B$15:$B$30,$E110)=0,"TIPO PTT INVÁLIDO","OK"),"OK")))))</f>
        <v/>
      </c>
      <c r="X110" s="52"/>
    </row>
    <row r="111" ht="15.75" customHeight="1">
      <c r="A111" s="52"/>
      <c r="B111" s="28" t="str">
        <f>IF($A111="","",IFERROR(VLOOKUP($A111,'Resumo por docente'!$A$8:$B$57,2,FALSE),""))</f>
        <v/>
      </c>
      <c r="C111" s="38"/>
      <c r="D111" s="57"/>
      <c r="E111" s="38"/>
      <c r="F111" s="52"/>
      <c r="G111" s="38"/>
      <c r="H111" s="38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48" t="str">
        <f>IF($A111="","",IF(OR($C111="",$D111="",$E111="",$F111=""),"INCOMPLETO",IF(OR($D111&lt;2021,$D111&gt;2026),"ANO FORA DA JANELA",IF(OR(LOWER($U111)&lt;&gt;"sim",LOWER($V111)&lt;&gt;"sim",$G111="",$H111="",$J111="",$K111="",$M111="",$N111="",$Q111="",$R111="",$S111=""),"INCOMPLETO",IF(LEFT($C111,3)="PTT",IF(COUNTIF('Estratos e PTTs'!$B$15:$B$30,$E111)=0,"TIPO PTT INVÁLIDO","OK"),"OK")))))</f>
        <v/>
      </c>
      <c r="X111" s="52"/>
    </row>
    <row r="112" ht="15.75" customHeight="1">
      <c r="A112" s="52"/>
      <c r="B112" s="28" t="str">
        <f>IF($A112="","",IFERROR(VLOOKUP($A112,'Resumo por docente'!$A$8:$B$57,2,FALSE),""))</f>
        <v/>
      </c>
      <c r="C112" s="38"/>
      <c r="D112" s="57"/>
      <c r="E112" s="38"/>
      <c r="F112" s="52"/>
      <c r="G112" s="38"/>
      <c r="H112" s="38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48" t="str">
        <f>IF($A112="","",IF(OR($C112="",$D112="",$E112="",$F112=""),"INCOMPLETO",IF(OR($D112&lt;2021,$D112&gt;2026),"ANO FORA DA JANELA",IF(OR(LOWER($U112)&lt;&gt;"sim",LOWER($V112)&lt;&gt;"sim",$G112="",$H112="",$J112="",$K112="",$M112="",$N112="",$Q112="",$R112="",$S112=""),"INCOMPLETO",IF(LEFT($C112,3)="PTT",IF(COUNTIF('Estratos e PTTs'!$B$15:$B$30,$E112)=0,"TIPO PTT INVÁLIDO","OK"),"OK")))))</f>
        <v/>
      </c>
      <c r="X112" s="52"/>
    </row>
    <row r="113" ht="15.75" customHeight="1">
      <c r="A113" s="52"/>
      <c r="B113" s="28" t="str">
        <f>IF($A113="","",IFERROR(VLOOKUP($A113,'Resumo por docente'!$A$8:$B$57,2,FALSE),""))</f>
        <v/>
      </c>
      <c r="C113" s="38"/>
      <c r="D113" s="57"/>
      <c r="E113" s="38"/>
      <c r="F113" s="52"/>
      <c r="G113" s="38"/>
      <c r="H113" s="38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48" t="str">
        <f>IF($A113="","",IF(OR($C113="",$D113="",$E113="",$F113=""),"INCOMPLETO",IF(OR($D113&lt;2021,$D113&gt;2026),"ANO FORA DA JANELA",IF(OR(LOWER($U113)&lt;&gt;"sim",LOWER($V113)&lt;&gt;"sim",$G113="",$H113="",$J113="",$K113="",$M113="",$N113="",$Q113="",$R113="",$S113=""),"INCOMPLETO",IF(LEFT($C113,3)="PTT",IF(COUNTIF('Estratos e PTTs'!$B$15:$B$30,$E113)=0,"TIPO PTT INVÁLIDO","OK"),"OK")))))</f>
        <v/>
      </c>
      <c r="X113" s="52"/>
    </row>
    <row r="114" ht="15.75" customHeight="1">
      <c r="A114" s="52"/>
      <c r="B114" s="28" t="str">
        <f>IF($A114="","",IFERROR(VLOOKUP($A114,'Resumo por docente'!$A$8:$B$57,2,FALSE),""))</f>
        <v/>
      </c>
      <c r="C114" s="38"/>
      <c r="D114" s="57"/>
      <c r="E114" s="38"/>
      <c r="F114" s="52"/>
      <c r="G114" s="38"/>
      <c r="H114" s="38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48" t="str">
        <f>IF($A114="","",IF(OR($C114="",$D114="",$E114="",$F114=""),"INCOMPLETO",IF(OR($D114&lt;2021,$D114&gt;2026),"ANO FORA DA JANELA",IF(OR(LOWER($U114)&lt;&gt;"sim",LOWER($V114)&lt;&gt;"sim",$G114="",$H114="",$J114="",$K114="",$M114="",$N114="",$Q114="",$R114="",$S114=""),"INCOMPLETO",IF(LEFT($C114,3)="PTT",IF(COUNTIF('Estratos e PTTs'!$B$15:$B$30,$E114)=0,"TIPO PTT INVÁLIDO","OK"),"OK")))))</f>
        <v/>
      </c>
      <c r="X114" s="52"/>
    </row>
    <row r="115" ht="15.75" customHeight="1">
      <c r="A115" s="52"/>
      <c r="B115" s="28" t="str">
        <f>IF($A115="","",IFERROR(VLOOKUP($A115,'Resumo por docente'!$A$8:$B$57,2,FALSE),""))</f>
        <v/>
      </c>
      <c r="C115" s="38"/>
      <c r="D115" s="57"/>
      <c r="E115" s="38"/>
      <c r="F115" s="52"/>
      <c r="G115" s="38"/>
      <c r="H115" s="38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48" t="str">
        <f>IF($A115="","",IF(OR($C115="",$D115="",$E115="",$F115=""),"INCOMPLETO",IF(OR($D115&lt;2021,$D115&gt;2026),"ANO FORA DA JANELA",IF(OR(LOWER($U115)&lt;&gt;"sim",LOWER($V115)&lt;&gt;"sim",$G115="",$H115="",$J115="",$K115="",$M115="",$N115="",$Q115="",$R115="",$S115=""),"INCOMPLETO",IF(LEFT($C115,3)="PTT",IF(COUNTIF('Estratos e PTTs'!$B$15:$B$30,$E115)=0,"TIPO PTT INVÁLIDO","OK"),"OK")))))</f>
        <v/>
      </c>
      <c r="X115" s="52"/>
    </row>
    <row r="116" ht="15.75" customHeight="1">
      <c r="A116" s="52"/>
      <c r="B116" s="28" t="str">
        <f>IF($A116="","",IFERROR(VLOOKUP($A116,'Resumo por docente'!$A$8:$B$57,2,FALSE),""))</f>
        <v/>
      </c>
      <c r="C116" s="38"/>
      <c r="D116" s="57"/>
      <c r="E116" s="38"/>
      <c r="F116" s="52"/>
      <c r="G116" s="38"/>
      <c r="H116" s="38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48" t="str">
        <f>IF($A116="","",IF(OR($C116="",$D116="",$E116="",$F116=""),"INCOMPLETO",IF(OR($D116&lt;2021,$D116&gt;2026),"ANO FORA DA JANELA",IF(OR(LOWER($U116)&lt;&gt;"sim",LOWER($V116)&lt;&gt;"sim",$G116="",$H116="",$J116="",$K116="",$M116="",$N116="",$Q116="",$R116="",$S116=""),"INCOMPLETO",IF(LEFT($C116,3)="PTT",IF(COUNTIF('Estratos e PTTs'!$B$15:$B$30,$E116)=0,"TIPO PTT INVÁLIDO","OK"),"OK")))))</f>
        <v/>
      </c>
      <c r="X116" s="52"/>
    </row>
    <row r="117" ht="15.75" customHeight="1">
      <c r="A117" s="52"/>
      <c r="B117" s="28" t="str">
        <f>IF($A117="","",IFERROR(VLOOKUP($A117,'Resumo por docente'!$A$8:$B$57,2,FALSE),""))</f>
        <v/>
      </c>
      <c r="C117" s="38"/>
      <c r="D117" s="57"/>
      <c r="E117" s="38"/>
      <c r="F117" s="52"/>
      <c r="G117" s="38"/>
      <c r="H117" s="38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48" t="str">
        <f>IF($A117="","",IF(OR($C117="",$D117="",$E117="",$F117=""),"INCOMPLETO",IF(OR($D117&lt;2021,$D117&gt;2026),"ANO FORA DA JANELA",IF(OR(LOWER($U117)&lt;&gt;"sim",LOWER($V117)&lt;&gt;"sim",$G117="",$H117="",$J117="",$K117="",$M117="",$N117="",$Q117="",$R117="",$S117=""),"INCOMPLETO",IF(LEFT($C117,3)="PTT",IF(COUNTIF('Estratos e PTTs'!$B$15:$B$30,$E117)=0,"TIPO PTT INVÁLIDO","OK"),"OK")))))</f>
        <v/>
      </c>
      <c r="X117" s="52"/>
    </row>
    <row r="118" ht="15.75" customHeight="1">
      <c r="A118" s="52"/>
      <c r="B118" s="28" t="str">
        <f>IF($A118="","",IFERROR(VLOOKUP($A118,'Resumo por docente'!$A$8:$B$57,2,FALSE),""))</f>
        <v/>
      </c>
      <c r="C118" s="38"/>
      <c r="D118" s="57"/>
      <c r="E118" s="38"/>
      <c r="F118" s="52"/>
      <c r="G118" s="38"/>
      <c r="H118" s="38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48" t="str">
        <f>IF($A118="","",IF(OR($C118="",$D118="",$E118="",$F118=""),"INCOMPLETO",IF(OR($D118&lt;2021,$D118&gt;2026),"ANO FORA DA JANELA",IF(OR(LOWER($U118)&lt;&gt;"sim",LOWER($V118)&lt;&gt;"sim",$G118="",$H118="",$J118="",$K118="",$M118="",$N118="",$Q118="",$R118="",$S118=""),"INCOMPLETO",IF(LEFT($C118,3)="PTT",IF(COUNTIF('Estratos e PTTs'!$B$15:$B$30,$E118)=0,"TIPO PTT INVÁLIDO","OK"),"OK")))))</f>
        <v/>
      </c>
      <c r="X118" s="52"/>
    </row>
    <row r="119" ht="15.75" customHeight="1">
      <c r="A119" s="52"/>
      <c r="B119" s="28" t="str">
        <f>IF($A119="","",IFERROR(VLOOKUP($A119,'Resumo por docente'!$A$8:$B$57,2,FALSE),""))</f>
        <v/>
      </c>
      <c r="C119" s="38"/>
      <c r="D119" s="57"/>
      <c r="E119" s="38"/>
      <c r="F119" s="52"/>
      <c r="G119" s="38"/>
      <c r="H119" s="38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48" t="str">
        <f>IF($A119="","",IF(OR($C119="",$D119="",$E119="",$F119=""),"INCOMPLETO",IF(OR($D119&lt;2021,$D119&gt;2026),"ANO FORA DA JANELA",IF(OR(LOWER($U119)&lt;&gt;"sim",LOWER($V119)&lt;&gt;"sim",$G119="",$H119="",$J119="",$K119="",$M119="",$N119="",$Q119="",$R119="",$S119=""),"INCOMPLETO",IF(LEFT($C119,3)="PTT",IF(COUNTIF('Estratos e PTTs'!$B$15:$B$30,$E119)=0,"TIPO PTT INVÁLIDO","OK"),"OK")))))</f>
        <v/>
      </c>
      <c r="X119" s="52"/>
    </row>
    <row r="120" ht="15.75" customHeight="1">
      <c r="A120" s="52"/>
      <c r="B120" s="28" t="str">
        <f>IF($A120="","",IFERROR(VLOOKUP($A120,'Resumo por docente'!$A$8:$B$57,2,FALSE),""))</f>
        <v/>
      </c>
      <c r="C120" s="38"/>
      <c r="D120" s="57"/>
      <c r="E120" s="38"/>
      <c r="F120" s="52"/>
      <c r="G120" s="38"/>
      <c r="H120" s="38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48" t="str">
        <f>IF($A120="","",IF(OR($C120="",$D120="",$E120="",$F120=""),"INCOMPLETO",IF(OR($D120&lt;2021,$D120&gt;2026),"ANO FORA DA JANELA",IF(OR(LOWER($U120)&lt;&gt;"sim",LOWER($V120)&lt;&gt;"sim",$G120="",$H120="",$J120="",$K120="",$M120="",$N120="",$Q120="",$R120="",$S120=""),"INCOMPLETO",IF(LEFT($C120,3)="PTT",IF(COUNTIF('Estratos e PTTs'!$B$15:$B$30,$E120)=0,"TIPO PTT INVÁLIDO","OK"),"OK")))))</f>
        <v/>
      </c>
      <c r="X120" s="52"/>
    </row>
    <row r="121" ht="15.75" customHeight="1">
      <c r="A121" s="52"/>
      <c r="B121" s="28" t="str">
        <f>IF($A121="","",IFERROR(VLOOKUP($A121,'Resumo por docente'!$A$8:$B$57,2,FALSE),""))</f>
        <v/>
      </c>
      <c r="C121" s="38"/>
      <c r="D121" s="57"/>
      <c r="E121" s="38"/>
      <c r="F121" s="52"/>
      <c r="G121" s="38"/>
      <c r="H121" s="38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48" t="str">
        <f>IF($A121="","",IF(OR($C121="",$D121="",$E121="",$F121=""),"INCOMPLETO",IF(OR($D121&lt;2021,$D121&gt;2026),"ANO FORA DA JANELA",IF(OR(LOWER($U121)&lt;&gt;"sim",LOWER($V121)&lt;&gt;"sim",$G121="",$H121="",$J121="",$K121="",$M121="",$N121="",$Q121="",$R121="",$S121=""),"INCOMPLETO",IF(LEFT($C121,3)="PTT",IF(COUNTIF('Estratos e PTTs'!$B$15:$B$30,$E121)=0,"TIPO PTT INVÁLIDO","OK"),"OK")))))</f>
        <v/>
      </c>
      <c r="X121" s="52"/>
    </row>
    <row r="122" ht="15.75" customHeight="1">
      <c r="A122" s="52"/>
      <c r="B122" s="28" t="str">
        <f>IF($A122="","",IFERROR(VLOOKUP($A122,'Resumo por docente'!$A$8:$B$57,2,FALSE),""))</f>
        <v/>
      </c>
      <c r="C122" s="38"/>
      <c r="D122" s="57"/>
      <c r="E122" s="38"/>
      <c r="F122" s="52"/>
      <c r="G122" s="38"/>
      <c r="H122" s="38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48" t="str">
        <f>IF($A122="","",IF(OR($C122="",$D122="",$E122="",$F122=""),"INCOMPLETO",IF(OR($D122&lt;2021,$D122&gt;2026),"ANO FORA DA JANELA",IF(OR(LOWER($U122)&lt;&gt;"sim",LOWER($V122)&lt;&gt;"sim",$G122="",$H122="",$J122="",$K122="",$M122="",$N122="",$Q122="",$R122="",$S122=""),"INCOMPLETO",IF(LEFT($C122,3)="PTT",IF(COUNTIF('Estratos e PTTs'!$B$15:$B$30,$E122)=0,"TIPO PTT INVÁLIDO","OK"),"OK")))))</f>
        <v/>
      </c>
      <c r="X122" s="52"/>
    </row>
    <row r="123" ht="15.75" customHeight="1">
      <c r="A123" s="52"/>
      <c r="B123" s="28" t="str">
        <f>IF($A123="","",IFERROR(VLOOKUP($A123,'Resumo por docente'!$A$8:$B$57,2,FALSE),""))</f>
        <v/>
      </c>
      <c r="C123" s="38"/>
      <c r="D123" s="57"/>
      <c r="E123" s="38"/>
      <c r="F123" s="52"/>
      <c r="G123" s="38"/>
      <c r="H123" s="38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48" t="str">
        <f>IF($A123="","",IF(OR($C123="",$D123="",$E123="",$F123=""),"INCOMPLETO",IF(OR($D123&lt;2021,$D123&gt;2026),"ANO FORA DA JANELA",IF(OR(LOWER($U123)&lt;&gt;"sim",LOWER($V123)&lt;&gt;"sim",$G123="",$H123="",$J123="",$K123="",$M123="",$N123="",$Q123="",$R123="",$S123=""),"INCOMPLETO",IF(LEFT($C123,3)="PTT",IF(COUNTIF('Estratos e PTTs'!$B$15:$B$30,$E123)=0,"TIPO PTT INVÁLIDO","OK"),"OK")))))</f>
        <v/>
      </c>
      <c r="X123" s="52"/>
    </row>
    <row r="124" ht="15.75" customHeight="1">
      <c r="A124" s="52"/>
      <c r="B124" s="28" t="str">
        <f>IF($A124="","",IFERROR(VLOOKUP($A124,'Resumo por docente'!$A$8:$B$57,2,FALSE),""))</f>
        <v/>
      </c>
      <c r="C124" s="38"/>
      <c r="D124" s="57"/>
      <c r="E124" s="38"/>
      <c r="F124" s="52"/>
      <c r="G124" s="38"/>
      <c r="H124" s="38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48" t="str">
        <f>IF($A124="","",IF(OR($C124="",$D124="",$E124="",$F124=""),"INCOMPLETO",IF(OR($D124&lt;2021,$D124&gt;2026),"ANO FORA DA JANELA",IF(OR(LOWER($U124)&lt;&gt;"sim",LOWER($V124)&lt;&gt;"sim",$G124="",$H124="",$J124="",$K124="",$M124="",$N124="",$Q124="",$R124="",$S124=""),"INCOMPLETO",IF(LEFT($C124,3)="PTT",IF(COUNTIF('Estratos e PTTs'!$B$15:$B$30,$E124)=0,"TIPO PTT INVÁLIDO","OK"),"OK")))))</f>
        <v/>
      </c>
      <c r="X124" s="52"/>
    </row>
    <row r="125" ht="15.75" customHeight="1">
      <c r="A125" s="52"/>
      <c r="B125" s="28" t="str">
        <f>IF($A125="","",IFERROR(VLOOKUP($A125,'Resumo por docente'!$A$8:$B$57,2,FALSE),""))</f>
        <v/>
      </c>
      <c r="C125" s="38"/>
      <c r="D125" s="57"/>
      <c r="E125" s="38"/>
      <c r="F125" s="52"/>
      <c r="G125" s="38"/>
      <c r="H125" s="38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48" t="str">
        <f>IF($A125="","",IF(OR($C125="",$D125="",$E125="",$F125=""),"INCOMPLETO",IF(OR($D125&lt;2021,$D125&gt;2026),"ANO FORA DA JANELA",IF(OR(LOWER($U125)&lt;&gt;"sim",LOWER($V125)&lt;&gt;"sim",$G125="",$H125="",$J125="",$K125="",$M125="",$N125="",$Q125="",$R125="",$S125=""),"INCOMPLETO",IF(LEFT($C125,3)="PTT",IF(COUNTIF('Estratos e PTTs'!$B$15:$B$30,$E125)=0,"TIPO PTT INVÁLIDO","OK"),"OK")))))</f>
        <v/>
      </c>
      <c r="X125" s="52"/>
    </row>
    <row r="126" ht="15.75" customHeight="1">
      <c r="A126" s="52"/>
      <c r="B126" s="28" t="str">
        <f>IF($A126="","",IFERROR(VLOOKUP($A126,'Resumo por docente'!$A$8:$B$57,2,FALSE),""))</f>
        <v/>
      </c>
      <c r="C126" s="38"/>
      <c r="D126" s="57"/>
      <c r="E126" s="38"/>
      <c r="F126" s="52"/>
      <c r="G126" s="38"/>
      <c r="H126" s="38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48" t="str">
        <f>IF($A126="","",IF(OR($C126="",$D126="",$E126="",$F126=""),"INCOMPLETO",IF(OR($D126&lt;2021,$D126&gt;2026),"ANO FORA DA JANELA",IF(OR(LOWER($U126)&lt;&gt;"sim",LOWER($V126)&lt;&gt;"sim",$G126="",$H126="",$J126="",$K126="",$M126="",$N126="",$Q126="",$R126="",$S126=""),"INCOMPLETO",IF(LEFT($C126,3)="PTT",IF(COUNTIF('Estratos e PTTs'!$B$15:$B$30,$E126)=0,"TIPO PTT INVÁLIDO","OK"),"OK")))))</f>
        <v/>
      </c>
      <c r="X126" s="52"/>
    </row>
    <row r="127" ht="15.75" customHeight="1">
      <c r="A127" s="52"/>
      <c r="B127" s="28" t="str">
        <f>IF($A127="","",IFERROR(VLOOKUP($A127,'Resumo por docente'!$A$8:$B$57,2,FALSE),""))</f>
        <v/>
      </c>
      <c r="C127" s="38"/>
      <c r="D127" s="57"/>
      <c r="E127" s="38"/>
      <c r="F127" s="52"/>
      <c r="G127" s="38"/>
      <c r="H127" s="38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48" t="str">
        <f>IF($A127="","",IF(OR($C127="",$D127="",$E127="",$F127=""),"INCOMPLETO",IF(OR($D127&lt;2021,$D127&gt;2026),"ANO FORA DA JANELA",IF(OR(LOWER($U127)&lt;&gt;"sim",LOWER($V127)&lt;&gt;"sim",$G127="",$H127="",$J127="",$K127="",$M127="",$N127="",$Q127="",$R127="",$S127=""),"INCOMPLETO",IF(LEFT($C127,3)="PTT",IF(COUNTIF('Estratos e PTTs'!$B$15:$B$30,$E127)=0,"TIPO PTT INVÁLIDO","OK"),"OK")))))</f>
        <v/>
      </c>
      <c r="X127" s="52"/>
    </row>
    <row r="128" ht="15.75" customHeight="1">
      <c r="A128" s="52"/>
      <c r="B128" s="28" t="str">
        <f>IF($A128="","",IFERROR(VLOOKUP($A128,'Resumo por docente'!$A$8:$B$57,2,FALSE),""))</f>
        <v/>
      </c>
      <c r="C128" s="38"/>
      <c r="D128" s="57"/>
      <c r="E128" s="38"/>
      <c r="F128" s="52"/>
      <c r="G128" s="38"/>
      <c r="H128" s="38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48" t="str">
        <f>IF($A128="","",IF(OR($C128="",$D128="",$E128="",$F128=""),"INCOMPLETO",IF(OR($D128&lt;2021,$D128&gt;2026),"ANO FORA DA JANELA",IF(OR(LOWER($U128)&lt;&gt;"sim",LOWER($V128)&lt;&gt;"sim",$G128="",$H128="",$J128="",$K128="",$M128="",$N128="",$Q128="",$R128="",$S128=""),"INCOMPLETO",IF(LEFT($C128,3)="PTT",IF(COUNTIF('Estratos e PTTs'!$B$15:$B$30,$E128)=0,"TIPO PTT INVÁLIDO","OK"),"OK")))))</f>
        <v/>
      </c>
      <c r="X128" s="52"/>
    </row>
    <row r="129" ht="15.75" customHeight="1">
      <c r="A129" s="52"/>
      <c r="B129" s="28" t="str">
        <f>IF($A129="","",IFERROR(VLOOKUP($A129,'Resumo por docente'!$A$8:$B$57,2,FALSE),""))</f>
        <v/>
      </c>
      <c r="C129" s="38"/>
      <c r="D129" s="57"/>
      <c r="E129" s="38"/>
      <c r="F129" s="52"/>
      <c r="G129" s="38"/>
      <c r="H129" s="38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48" t="str">
        <f>IF($A129="","",IF(OR($C129="",$D129="",$E129="",$F129=""),"INCOMPLETO",IF(OR($D129&lt;2021,$D129&gt;2026),"ANO FORA DA JANELA",IF(OR(LOWER($U129)&lt;&gt;"sim",LOWER($V129)&lt;&gt;"sim",$G129="",$H129="",$J129="",$K129="",$M129="",$N129="",$Q129="",$R129="",$S129=""),"INCOMPLETO",IF(LEFT($C129,3)="PTT",IF(COUNTIF('Estratos e PTTs'!$B$15:$B$30,$E129)=0,"TIPO PTT INVÁLIDO","OK"),"OK")))))</f>
        <v/>
      </c>
      <c r="X129" s="52"/>
    </row>
    <row r="130" ht="15.75" customHeight="1">
      <c r="A130" s="52"/>
      <c r="B130" s="28" t="str">
        <f>IF($A130="","",IFERROR(VLOOKUP($A130,'Resumo por docente'!$A$8:$B$57,2,FALSE),""))</f>
        <v/>
      </c>
      <c r="C130" s="38"/>
      <c r="D130" s="57"/>
      <c r="E130" s="38"/>
      <c r="F130" s="52"/>
      <c r="G130" s="38"/>
      <c r="H130" s="38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48" t="str">
        <f>IF($A130="","",IF(OR($C130="",$D130="",$E130="",$F130=""),"INCOMPLETO",IF(OR($D130&lt;2021,$D130&gt;2026),"ANO FORA DA JANELA",IF(OR(LOWER($U130)&lt;&gt;"sim",LOWER($V130)&lt;&gt;"sim",$G130="",$H130="",$J130="",$K130="",$M130="",$N130="",$Q130="",$R130="",$S130=""),"INCOMPLETO",IF(LEFT($C130,3)="PTT",IF(COUNTIF('Estratos e PTTs'!$B$15:$B$30,$E130)=0,"TIPO PTT INVÁLIDO","OK"),"OK")))))</f>
        <v/>
      </c>
      <c r="X130" s="52"/>
    </row>
    <row r="131" ht="15.75" customHeight="1">
      <c r="A131" s="52"/>
      <c r="B131" s="28" t="str">
        <f>IF($A131="","",IFERROR(VLOOKUP($A131,'Resumo por docente'!$A$8:$B$57,2,FALSE),""))</f>
        <v/>
      </c>
      <c r="C131" s="38"/>
      <c r="D131" s="57"/>
      <c r="E131" s="38"/>
      <c r="F131" s="52"/>
      <c r="G131" s="38"/>
      <c r="H131" s="38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48" t="str">
        <f>IF($A131="","",IF(OR($C131="",$D131="",$E131="",$F131=""),"INCOMPLETO",IF(OR($D131&lt;2021,$D131&gt;2026),"ANO FORA DA JANELA",IF(OR(LOWER($U131)&lt;&gt;"sim",LOWER($V131)&lt;&gt;"sim",$G131="",$H131="",$J131="",$K131="",$M131="",$N131="",$Q131="",$R131="",$S131=""),"INCOMPLETO",IF(LEFT($C131,3)="PTT",IF(COUNTIF('Estratos e PTTs'!$B$15:$B$30,$E131)=0,"TIPO PTT INVÁLIDO","OK"),"OK")))))</f>
        <v/>
      </c>
      <c r="X131" s="52"/>
    </row>
    <row r="132" ht="15.75" customHeight="1">
      <c r="A132" s="52"/>
      <c r="B132" s="28" t="str">
        <f>IF($A132="","",IFERROR(VLOOKUP($A132,'Resumo por docente'!$A$8:$B$57,2,FALSE),""))</f>
        <v/>
      </c>
      <c r="C132" s="38"/>
      <c r="D132" s="57"/>
      <c r="E132" s="38"/>
      <c r="F132" s="52"/>
      <c r="G132" s="38"/>
      <c r="H132" s="38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48" t="str">
        <f>IF($A132="","",IF(OR($C132="",$D132="",$E132="",$F132=""),"INCOMPLETO",IF(OR($D132&lt;2021,$D132&gt;2026),"ANO FORA DA JANELA",IF(OR(LOWER($U132)&lt;&gt;"sim",LOWER($V132)&lt;&gt;"sim",$G132="",$H132="",$J132="",$K132="",$M132="",$N132="",$Q132="",$R132="",$S132=""),"INCOMPLETO",IF(LEFT($C132,3)="PTT",IF(COUNTIF('Estratos e PTTs'!$B$15:$B$30,$E132)=0,"TIPO PTT INVÁLIDO","OK"),"OK")))))</f>
        <v/>
      </c>
      <c r="X132" s="52"/>
    </row>
    <row r="133" ht="15.75" customHeight="1">
      <c r="A133" s="52"/>
      <c r="B133" s="28" t="str">
        <f>IF($A133="","",IFERROR(VLOOKUP($A133,'Resumo por docente'!$A$8:$B$57,2,FALSE),""))</f>
        <v/>
      </c>
      <c r="C133" s="38"/>
      <c r="D133" s="57"/>
      <c r="E133" s="38"/>
      <c r="F133" s="52"/>
      <c r="G133" s="38"/>
      <c r="H133" s="38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48" t="str">
        <f>IF($A133="","",IF(OR($C133="",$D133="",$E133="",$F133=""),"INCOMPLETO",IF(OR($D133&lt;2021,$D133&gt;2026),"ANO FORA DA JANELA",IF(OR(LOWER($U133)&lt;&gt;"sim",LOWER($V133)&lt;&gt;"sim",$G133="",$H133="",$J133="",$K133="",$M133="",$N133="",$Q133="",$R133="",$S133=""),"INCOMPLETO",IF(LEFT($C133,3)="PTT",IF(COUNTIF('Estratos e PTTs'!$B$15:$B$30,$E133)=0,"TIPO PTT INVÁLIDO","OK"),"OK")))))</f>
        <v/>
      </c>
      <c r="X133" s="52"/>
    </row>
    <row r="134" ht="15.75" customHeight="1">
      <c r="A134" s="52"/>
      <c r="B134" s="28" t="str">
        <f>IF($A134="","",IFERROR(VLOOKUP($A134,'Resumo por docente'!$A$8:$B$57,2,FALSE),""))</f>
        <v/>
      </c>
      <c r="C134" s="38"/>
      <c r="D134" s="57"/>
      <c r="E134" s="38"/>
      <c r="F134" s="52"/>
      <c r="G134" s="38"/>
      <c r="H134" s="38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48" t="str">
        <f>IF($A134="","",IF(OR($C134="",$D134="",$E134="",$F134=""),"INCOMPLETO",IF(OR($D134&lt;2021,$D134&gt;2026),"ANO FORA DA JANELA",IF(OR(LOWER($U134)&lt;&gt;"sim",LOWER($V134)&lt;&gt;"sim",$G134="",$H134="",$J134="",$K134="",$M134="",$N134="",$Q134="",$R134="",$S134=""),"INCOMPLETO",IF(LEFT($C134,3)="PTT",IF(COUNTIF('Estratos e PTTs'!$B$15:$B$30,$E134)=0,"TIPO PTT INVÁLIDO","OK"),"OK")))))</f>
        <v/>
      </c>
      <c r="X134" s="52"/>
    </row>
    <row r="135" ht="15.75" customHeight="1">
      <c r="A135" s="52"/>
      <c r="B135" s="28" t="str">
        <f>IF($A135="","",IFERROR(VLOOKUP($A135,'Resumo por docente'!$A$8:$B$57,2,FALSE),""))</f>
        <v/>
      </c>
      <c r="C135" s="38"/>
      <c r="D135" s="57"/>
      <c r="E135" s="38"/>
      <c r="F135" s="52"/>
      <c r="G135" s="38"/>
      <c r="H135" s="38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48" t="str">
        <f>IF($A135="","",IF(OR($C135="",$D135="",$E135="",$F135=""),"INCOMPLETO",IF(OR($D135&lt;2021,$D135&gt;2026),"ANO FORA DA JANELA",IF(OR(LOWER($U135)&lt;&gt;"sim",LOWER($V135)&lt;&gt;"sim",$G135="",$H135="",$J135="",$K135="",$M135="",$N135="",$Q135="",$R135="",$S135=""),"INCOMPLETO",IF(LEFT($C135,3)="PTT",IF(COUNTIF('Estratos e PTTs'!$B$15:$B$30,$E135)=0,"TIPO PTT INVÁLIDO","OK"),"OK")))))</f>
        <v/>
      </c>
      <c r="X135" s="52"/>
    </row>
    <row r="136" ht="15.75" customHeight="1">
      <c r="A136" s="52"/>
      <c r="B136" s="28" t="str">
        <f>IF($A136="","",IFERROR(VLOOKUP($A136,'Resumo por docente'!$A$8:$B$57,2,FALSE),""))</f>
        <v/>
      </c>
      <c r="C136" s="38"/>
      <c r="D136" s="57"/>
      <c r="E136" s="38"/>
      <c r="F136" s="52"/>
      <c r="G136" s="38"/>
      <c r="H136" s="38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48" t="str">
        <f>IF($A136="","",IF(OR($C136="",$D136="",$E136="",$F136=""),"INCOMPLETO",IF(OR($D136&lt;2021,$D136&gt;2026),"ANO FORA DA JANELA",IF(OR(LOWER($U136)&lt;&gt;"sim",LOWER($V136)&lt;&gt;"sim",$G136="",$H136="",$J136="",$K136="",$M136="",$N136="",$Q136="",$R136="",$S136=""),"INCOMPLETO",IF(LEFT($C136,3)="PTT",IF(COUNTIF('Estratos e PTTs'!$B$15:$B$30,$E136)=0,"TIPO PTT INVÁLIDO","OK"),"OK")))))</f>
        <v/>
      </c>
      <c r="X136" s="52"/>
    </row>
    <row r="137" ht="15.75" customHeight="1">
      <c r="A137" s="52"/>
      <c r="B137" s="28" t="str">
        <f>IF($A137="","",IFERROR(VLOOKUP($A137,'Resumo por docente'!$A$8:$B$57,2,FALSE),""))</f>
        <v/>
      </c>
      <c r="C137" s="38"/>
      <c r="D137" s="57"/>
      <c r="E137" s="38"/>
      <c r="F137" s="52"/>
      <c r="G137" s="38"/>
      <c r="H137" s="38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48" t="str">
        <f>IF($A137="","",IF(OR($C137="",$D137="",$E137="",$F137=""),"INCOMPLETO",IF(OR($D137&lt;2021,$D137&gt;2026),"ANO FORA DA JANELA",IF(OR(LOWER($U137)&lt;&gt;"sim",LOWER($V137)&lt;&gt;"sim",$G137="",$H137="",$J137="",$K137="",$M137="",$N137="",$Q137="",$R137="",$S137=""),"INCOMPLETO",IF(LEFT($C137,3)="PTT",IF(COUNTIF('Estratos e PTTs'!$B$15:$B$30,$E137)=0,"TIPO PTT INVÁLIDO","OK"),"OK")))))</f>
        <v/>
      </c>
      <c r="X137" s="52"/>
    </row>
    <row r="138" ht="15.75" customHeight="1">
      <c r="A138" s="52"/>
      <c r="B138" s="28" t="str">
        <f>IF($A138="","",IFERROR(VLOOKUP($A138,'Resumo por docente'!$A$8:$B$57,2,FALSE),""))</f>
        <v/>
      </c>
      <c r="C138" s="38"/>
      <c r="D138" s="57"/>
      <c r="E138" s="38"/>
      <c r="F138" s="52"/>
      <c r="G138" s="38"/>
      <c r="H138" s="38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48" t="str">
        <f>IF($A138="","",IF(OR($C138="",$D138="",$E138="",$F138=""),"INCOMPLETO",IF(OR($D138&lt;2021,$D138&gt;2026),"ANO FORA DA JANELA",IF(OR(LOWER($U138)&lt;&gt;"sim",LOWER($V138)&lt;&gt;"sim",$G138="",$H138="",$J138="",$K138="",$M138="",$N138="",$Q138="",$R138="",$S138=""),"INCOMPLETO",IF(LEFT($C138,3)="PTT",IF(COUNTIF('Estratos e PTTs'!$B$15:$B$30,$E138)=0,"TIPO PTT INVÁLIDO","OK"),"OK")))))</f>
        <v/>
      </c>
      <c r="X138" s="52"/>
    </row>
    <row r="139" ht="15.75" customHeight="1">
      <c r="A139" s="52"/>
      <c r="B139" s="28" t="str">
        <f>IF($A139="","",IFERROR(VLOOKUP($A139,'Resumo por docente'!$A$8:$B$57,2,FALSE),""))</f>
        <v/>
      </c>
      <c r="C139" s="38"/>
      <c r="D139" s="57"/>
      <c r="E139" s="38"/>
      <c r="F139" s="52"/>
      <c r="G139" s="38"/>
      <c r="H139" s="38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48" t="str">
        <f>IF($A139="","",IF(OR($C139="",$D139="",$E139="",$F139=""),"INCOMPLETO",IF(OR($D139&lt;2021,$D139&gt;2026),"ANO FORA DA JANELA",IF(OR(LOWER($U139)&lt;&gt;"sim",LOWER($V139)&lt;&gt;"sim",$G139="",$H139="",$J139="",$K139="",$M139="",$N139="",$Q139="",$R139="",$S139=""),"INCOMPLETO",IF(LEFT($C139,3)="PTT",IF(COUNTIF('Estratos e PTTs'!$B$15:$B$30,$E139)=0,"TIPO PTT INVÁLIDO","OK"),"OK")))))</f>
        <v/>
      </c>
      <c r="X139" s="52"/>
    </row>
    <row r="140" ht="15.75" customHeight="1">
      <c r="A140" s="52"/>
      <c r="B140" s="28" t="str">
        <f>IF($A140="","",IFERROR(VLOOKUP($A140,'Resumo por docente'!$A$8:$B$57,2,FALSE),""))</f>
        <v/>
      </c>
      <c r="C140" s="38"/>
      <c r="D140" s="57"/>
      <c r="E140" s="38"/>
      <c r="F140" s="52"/>
      <c r="G140" s="38"/>
      <c r="H140" s="38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48" t="str">
        <f>IF($A140="","",IF(OR($C140="",$D140="",$E140="",$F140=""),"INCOMPLETO",IF(OR($D140&lt;2021,$D140&gt;2026),"ANO FORA DA JANELA",IF(OR(LOWER($U140)&lt;&gt;"sim",LOWER($V140)&lt;&gt;"sim",$G140="",$H140="",$J140="",$K140="",$M140="",$N140="",$Q140="",$R140="",$S140=""),"INCOMPLETO",IF(LEFT($C140,3)="PTT",IF(COUNTIF('Estratos e PTTs'!$B$15:$B$30,$E140)=0,"TIPO PTT INVÁLIDO","OK"),"OK")))))</f>
        <v/>
      </c>
      <c r="X140" s="52"/>
    </row>
    <row r="141" ht="15.75" customHeight="1">
      <c r="A141" s="52"/>
      <c r="B141" s="28" t="str">
        <f>IF($A141="","",IFERROR(VLOOKUP($A141,'Resumo por docente'!$A$8:$B$57,2,FALSE),""))</f>
        <v/>
      </c>
      <c r="C141" s="38"/>
      <c r="D141" s="57"/>
      <c r="E141" s="38"/>
      <c r="F141" s="52"/>
      <c r="G141" s="38"/>
      <c r="H141" s="38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48" t="str">
        <f>IF($A141="","",IF(OR($C141="",$D141="",$E141="",$F141=""),"INCOMPLETO",IF(OR($D141&lt;2021,$D141&gt;2026),"ANO FORA DA JANELA",IF(OR(LOWER($U141)&lt;&gt;"sim",LOWER($V141)&lt;&gt;"sim",$G141="",$H141="",$J141="",$K141="",$M141="",$N141="",$Q141="",$R141="",$S141=""),"INCOMPLETO",IF(LEFT($C141,3)="PTT",IF(COUNTIF('Estratos e PTTs'!$B$15:$B$30,$E141)=0,"TIPO PTT INVÁLIDO","OK"),"OK")))))</f>
        <v/>
      </c>
      <c r="X141" s="52"/>
    </row>
    <row r="142" ht="15.75" customHeight="1">
      <c r="A142" s="52"/>
      <c r="B142" s="28" t="str">
        <f>IF($A142="","",IFERROR(VLOOKUP($A142,'Resumo por docente'!$A$8:$B$57,2,FALSE),""))</f>
        <v/>
      </c>
      <c r="C142" s="38"/>
      <c r="D142" s="57"/>
      <c r="E142" s="38"/>
      <c r="F142" s="52"/>
      <c r="G142" s="38"/>
      <c r="H142" s="38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48" t="str">
        <f>IF($A142="","",IF(OR($C142="",$D142="",$E142="",$F142=""),"INCOMPLETO",IF(OR($D142&lt;2021,$D142&gt;2026),"ANO FORA DA JANELA",IF(OR(LOWER($U142)&lt;&gt;"sim",LOWER($V142)&lt;&gt;"sim",$G142="",$H142="",$J142="",$K142="",$M142="",$N142="",$Q142="",$R142="",$S142=""),"INCOMPLETO",IF(LEFT($C142,3)="PTT",IF(COUNTIF('Estratos e PTTs'!$B$15:$B$30,$E142)=0,"TIPO PTT INVÁLIDO","OK"),"OK")))))</f>
        <v/>
      </c>
      <c r="X142" s="52"/>
    </row>
    <row r="143" ht="15.75" customHeight="1">
      <c r="A143" s="52"/>
      <c r="B143" s="28" t="str">
        <f>IF($A143="","",IFERROR(VLOOKUP($A143,'Resumo por docente'!$A$8:$B$57,2,FALSE),""))</f>
        <v/>
      </c>
      <c r="C143" s="38"/>
      <c r="D143" s="57"/>
      <c r="E143" s="38"/>
      <c r="F143" s="52"/>
      <c r="G143" s="38"/>
      <c r="H143" s="38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48" t="str">
        <f>IF($A143="","",IF(OR($C143="",$D143="",$E143="",$F143=""),"INCOMPLETO",IF(OR($D143&lt;2021,$D143&gt;2026),"ANO FORA DA JANELA",IF(OR(LOWER($U143)&lt;&gt;"sim",LOWER($V143)&lt;&gt;"sim",$G143="",$H143="",$J143="",$K143="",$M143="",$N143="",$Q143="",$R143="",$S143=""),"INCOMPLETO",IF(LEFT($C143,3)="PTT",IF(COUNTIF('Estratos e PTTs'!$B$15:$B$30,$E143)=0,"TIPO PTT INVÁLIDO","OK"),"OK")))))</f>
        <v/>
      </c>
      <c r="X143" s="52"/>
    </row>
    <row r="144" ht="15.75" customHeight="1">
      <c r="A144" s="52"/>
      <c r="B144" s="28" t="str">
        <f>IF($A144="","",IFERROR(VLOOKUP($A144,'Resumo por docente'!$A$8:$B$57,2,FALSE),""))</f>
        <v/>
      </c>
      <c r="C144" s="38"/>
      <c r="D144" s="57"/>
      <c r="E144" s="38"/>
      <c r="F144" s="52"/>
      <c r="G144" s="38"/>
      <c r="H144" s="38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48" t="str">
        <f>IF($A144="","",IF(OR($C144="",$D144="",$E144="",$F144=""),"INCOMPLETO",IF(OR($D144&lt;2021,$D144&gt;2026),"ANO FORA DA JANELA",IF(OR(LOWER($U144)&lt;&gt;"sim",LOWER($V144)&lt;&gt;"sim",$G144="",$H144="",$J144="",$K144="",$M144="",$N144="",$Q144="",$R144="",$S144=""),"INCOMPLETO",IF(LEFT($C144,3)="PTT",IF(COUNTIF('Estratos e PTTs'!$B$15:$B$30,$E144)=0,"TIPO PTT INVÁLIDO","OK"),"OK")))))</f>
        <v/>
      </c>
      <c r="X144" s="52"/>
    </row>
    <row r="145" ht="15.75" customHeight="1">
      <c r="A145" s="52"/>
      <c r="B145" s="28" t="str">
        <f>IF($A145="","",IFERROR(VLOOKUP($A145,'Resumo por docente'!$A$8:$B$57,2,FALSE),""))</f>
        <v/>
      </c>
      <c r="C145" s="38"/>
      <c r="D145" s="57"/>
      <c r="E145" s="38"/>
      <c r="F145" s="52"/>
      <c r="G145" s="38"/>
      <c r="H145" s="38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48" t="str">
        <f>IF($A145="","",IF(OR($C145="",$D145="",$E145="",$F145=""),"INCOMPLETO",IF(OR($D145&lt;2021,$D145&gt;2026),"ANO FORA DA JANELA",IF(OR(LOWER($U145)&lt;&gt;"sim",LOWER($V145)&lt;&gt;"sim",$G145="",$H145="",$J145="",$K145="",$M145="",$N145="",$Q145="",$R145="",$S145=""),"INCOMPLETO",IF(LEFT($C145,3)="PTT",IF(COUNTIF('Estratos e PTTs'!$B$15:$B$30,$E145)=0,"TIPO PTT INVÁLIDO","OK"),"OK")))))</f>
        <v/>
      </c>
      <c r="X145" s="52"/>
    </row>
    <row r="146" ht="15.75" customHeight="1">
      <c r="A146" s="52"/>
      <c r="B146" s="28" t="str">
        <f>IF($A146="","",IFERROR(VLOOKUP($A146,'Resumo por docente'!$A$8:$B$57,2,FALSE),""))</f>
        <v/>
      </c>
      <c r="C146" s="38"/>
      <c r="D146" s="57"/>
      <c r="E146" s="38"/>
      <c r="F146" s="52"/>
      <c r="G146" s="38"/>
      <c r="H146" s="38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48" t="str">
        <f>IF($A146="","",IF(OR($C146="",$D146="",$E146="",$F146=""),"INCOMPLETO",IF(OR($D146&lt;2021,$D146&gt;2026),"ANO FORA DA JANELA",IF(OR(LOWER($U146)&lt;&gt;"sim",LOWER($V146)&lt;&gt;"sim",$G146="",$H146="",$J146="",$K146="",$M146="",$N146="",$Q146="",$R146="",$S146=""),"INCOMPLETO",IF(LEFT($C146,3)="PTT",IF(COUNTIF('Estratos e PTTs'!$B$15:$B$30,$E146)=0,"TIPO PTT INVÁLIDO","OK"),"OK")))))</f>
        <v/>
      </c>
      <c r="X146" s="52"/>
    </row>
    <row r="147" ht="15.75" customHeight="1">
      <c r="A147" s="52"/>
      <c r="B147" s="28" t="str">
        <f>IF($A147="","",IFERROR(VLOOKUP($A147,'Resumo por docente'!$A$8:$B$57,2,FALSE),""))</f>
        <v/>
      </c>
      <c r="C147" s="38"/>
      <c r="D147" s="57"/>
      <c r="E147" s="38"/>
      <c r="F147" s="52"/>
      <c r="G147" s="38"/>
      <c r="H147" s="38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48" t="str">
        <f>IF($A147="","",IF(OR($C147="",$D147="",$E147="",$F147=""),"INCOMPLETO",IF(OR($D147&lt;2021,$D147&gt;2026),"ANO FORA DA JANELA",IF(OR(LOWER($U147)&lt;&gt;"sim",LOWER($V147)&lt;&gt;"sim",$G147="",$H147="",$J147="",$K147="",$M147="",$N147="",$Q147="",$R147="",$S147=""),"INCOMPLETO",IF(LEFT($C147,3)="PTT",IF(COUNTIF('Estratos e PTTs'!$B$15:$B$30,$E147)=0,"TIPO PTT INVÁLIDO","OK"),"OK")))))</f>
        <v/>
      </c>
      <c r="X147" s="52"/>
    </row>
    <row r="148" ht="15.75" customHeight="1">
      <c r="A148" s="52"/>
      <c r="B148" s="28" t="str">
        <f>IF($A148="","",IFERROR(VLOOKUP($A148,'Resumo por docente'!$A$8:$B$57,2,FALSE),""))</f>
        <v/>
      </c>
      <c r="C148" s="38"/>
      <c r="D148" s="57"/>
      <c r="E148" s="38"/>
      <c r="F148" s="52"/>
      <c r="G148" s="38"/>
      <c r="H148" s="38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48" t="str">
        <f>IF($A148="","",IF(OR($C148="",$D148="",$E148="",$F148=""),"INCOMPLETO",IF(OR($D148&lt;2021,$D148&gt;2026),"ANO FORA DA JANELA",IF(OR(LOWER($U148)&lt;&gt;"sim",LOWER($V148)&lt;&gt;"sim",$G148="",$H148="",$J148="",$K148="",$M148="",$N148="",$Q148="",$R148="",$S148=""),"INCOMPLETO",IF(LEFT($C148,3)="PTT",IF(COUNTIF('Estratos e PTTs'!$B$15:$B$30,$E148)=0,"TIPO PTT INVÁLIDO","OK"),"OK")))))</f>
        <v/>
      </c>
      <c r="X148" s="52"/>
    </row>
    <row r="149" ht="15.75" customHeight="1">
      <c r="A149" s="52"/>
      <c r="B149" s="28" t="str">
        <f>IF($A149="","",IFERROR(VLOOKUP($A149,'Resumo por docente'!$A$8:$B$57,2,FALSE),""))</f>
        <v/>
      </c>
      <c r="C149" s="38"/>
      <c r="D149" s="57"/>
      <c r="E149" s="38"/>
      <c r="F149" s="52"/>
      <c r="G149" s="38"/>
      <c r="H149" s="38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48" t="str">
        <f>IF($A149="","",IF(OR($C149="",$D149="",$E149="",$F149=""),"INCOMPLETO",IF(OR($D149&lt;2021,$D149&gt;2026),"ANO FORA DA JANELA",IF(OR(LOWER($U149)&lt;&gt;"sim",LOWER($V149)&lt;&gt;"sim",$G149="",$H149="",$J149="",$K149="",$M149="",$N149="",$Q149="",$R149="",$S149=""),"INCOMPLETO",IF(LEFT($C149,3)="PTT",IF(COUNTIF('Estratos e PTTs'!$B$15:$B$30,$E149)=0,"TIPO PTT INVÁLIDO","OK"),"OK")))))</f>
        <v/>
      </c>
      <c r="X149" s="52"/>
    </row>
    <row r="150" ht="15.75" customHeight="1">
      <c r="A150" s="52"/>
      <c r="B150" s="28" t="str">
        <f>IF($A150="","",IFERROR(VLOOKUP($A150,'Resumo por docente'!$A$8:$B$57,2,FALSE),""))</f>
        <v/>
      </c>
      <c r="C150" s="38"/>
      <c r="D150" s="57"/>
      <c r="E150" s="38"/>
      <c r="F150" s="52"/>
      <c r="G150" s="38"/>
      <c r="H150" s="38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48" t="str">
        <f>IF($A150="","",IF(OR($C150="",$D150="",$E150="",$F150=""),"INCOMPLETO",IF(OR($D150&lt;2021,$D150&gt;2026),"ANO FORA DA JANELA",IF(OR(LOWER($U150)&lt;&gt;"sim",LOWER($V150)&lt;&gt;"sim",$G150="",$H150="",$J150="",$K150="",$M150="",$N150="",$Q150="",$R150="",$S150=""),"INCOMPLETO",IF(LEFT($C150,3)="PTT",IF(COUNTIF('Estratos e PTTs'!$B$15:$B$30,$E150)=0,"TIPO PTT INVÁLIDO","OK"),"OK")))))</f>
        <v/>
      </c>
      <c r="X150" s="52"/>
    </row>
    <row r="151" ht="15.75" customHeight="1">
      <c r="A151" s="52"/>
      <c r="B151" s="28" t="str">
        <f>IF($A151="","",IFERROR(VLOOKUP($A151,'Resumo por docente'!$A$8:$B$57,2,FALSE),""))</f>
        <v/>
      </c>
      <c r="C151" s="38"/>
      <c r="D151" s="57"/>
      <c r="E151" s="38"/>
      <c r="F151" s="52"/>
      <c r="G151" s="38"/>
      <c r="H151" s="38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48" t="str">
        <f>IF($A151="","",IF(OR($C151="",$D151="",$E151="",$F151=""),"INCOMPLETO",IF(OR($D151&lt;2021,$D151&gt;2026),"ANO FORA DA JANELA",IF(OR(LOWER($U151)&lt;&gt;"sim",LOWER($V151)&lt;&gt;"sim",$G151="",$H151="",$J151="",$K151="",$M151="",$N151="",$Q151="",$R151="",$S151=""),"INCOMPLETO",IF(LEFT($C151,3)="PTT",IF(COUNTIF('Estratos e PTTs'!$B$15:$B$30,$E151)=0,"TIPO PTT INVÁLIDO","OK"),"OK")))))</f>
        <v/>
      </c>
      <c r="X151" s="52"/>
    </row>
    <row r="152" ht="15.75" customHeight="1">
      <c r="A152" s="52"/>
      <c r="B152" s="28" t="str">
        <f>IF($A152="","",IFERROR(VLOOKUP($A152,'Resumo por docente'!$A$8:$B$57,2,FALSE),""))</f>
        <v/>
      </c>
      <c r="C152" s="38"/>
      <c r="D152" s="57"/>
      <c r="E152" s="38"/>
      <c r="F152" s="52"/>
      <c r="G152" s="38"/>
      <c r="H152" s="38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48" t="str">
        <f>IF($A152="","",IF(OR($C152="",$D152="",$E152="",$F152=""),"INCOMPLETO",IF(OR($D152&lt;2021,$D152&gt;2026),"ANO FORA DA JANELA",IF(OR(LOWER($U152)&lt;&gt;"sim",LOWER($V152)&lt;&gt;"sim",$G152="",$H152="",$J152="",$K152="",$M152="",$N152="",$Q152="",$R152="",$S152=""),"INCOMPLETO",IF(LEFT($C152,3)="PTT",IF(COUNTIF('Estratos e PTTs'!$B$15:$B$30,$E152)=0,"TIPO PTT INVÁLIDO","OK"),"OK")))))</f>
        <v/>
      </c>
      <c r="X152" s="52"/>
    </row>
    <row r="153" ht="15.75" customHeight="1">
      <c r="A153" s="52"/>
      <c r="B153" s="28" t="str">
        <f>IF($A153="","",IFERROR(VLOOKUP($A153,'Resumo por docente'!$A$8:$B$57,2,FALSE),""))</f>
        <v/>
      </c>
      <c r="C153" s="38"/>
      <c r="D153" s="57"/>
      <c r="E153" s="38"/>
      <c r="F153" s="52"/>
      <c r="G153" s="38"/>
      <c r="H153" s="38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48" t="str">
        <f>IF($A153="","",IF(OR($C153="",$D153="",$E153="",$F153=""),"INCOMPLETO",IF(OR($D153&lt;2021,$D153&gt;2026),"ANO FORA DA JANELA",IF(OR(LOWER($U153)&lt;&gt;"sim",LOWER($V153)&lt;&gt;"sim",$G153="",$H153="",$J153="",$K153="",$M153="",$N153="",$Q153="",$R153="",$S153=""),"INCOMPLETO",IF(LEFT($C153,3)="PTT",IF(COUNTIF('Estratos e PTTs'!$B$15:$B$30,$E153)=0,"TIPO PTT INVÁLIDO","OK"),"OK")))))</f>
        <v/>
      </c>
      <c r="X153" s="52"/>
    </row>
    <row r="154" ht="15.75" customHeight="1">
      <c r="A154" s="52"/>
      <c r="B154" s="28" t="str">
        <f>IF($A154="","",IFERROR(VLOOKUP($A154,'Resumo por docente'!$A$8:$B$57,2,FALSE),""))</f>
        <v/>
      </c>
      <c r="C154" s="38"/>
      <c r="D154" s="57"/>
      <c r="E154" s="38"/>
      <c r="F154" s="52"/>
      <c r="G154" s="38"/>
      <c r="H154" s="38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48" t="str">
        <f>IF($A154="","",IF(OR($C154="",$D154="",$E154="",$F154=""),"INCOMPLETO",IF(OR($D154&lt;2021,$D154&gt;2026),"ANO FORA DA JANELA",IF(OR(LOWER($U154)&lt;&gt;"sim",LOWER($V154)&lt;&gt;"sim",$G154="",$H154="",$J154="",$K154="",$M154="",$N154="",$Q154="",$R154="",$S154=""),"INCOMPLETO",IF(LEFT($C154,3)="PTT",IF(COUNTIF('Estratos e PTTs'!$B$15:$B$30,$E154)=0,"TIPO PTT INVÁLIDO","OK"),"OK")))))</f>
        <v/>
      </c>
      <c r="X154" s="52"/>
    </row>
    <row r="155" ht="15.75" customHeight="1">
      <c r="A155" s="52"/>
      <c r="B155" s="28" t="str">
        <f>IF($A155="","",IFERROR(VLOOKUP($A155,'Resumo por docente'!$A$8:$B$57,2,FALSE),""))</f>
        <v/>
      </c>
      <c r="C155" s="38"/>
      <c r="D155" s="57"/>
      <c r="E155" s="38"/>
      <c r="F155" s="52"/>
      <c r="G155" s="38"/>
      <c r="H155" s="38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48" t="str">
        <f>IF($A155="","",IF(OR($C155="",$D155="",$E155="",$F155=""),"INCOMPLETO",IF(OR($D155&lt;2021,$D155&gt;2026),"ANO FORA DA JANELA",IF(OR(LOWER($U155)&lt;&gt;"sim",LOWER($V155)&lt;&gt;"sim",$G155="",$H155="",$J155="",$K155="",$M155="",$N155="",$Q155="",$R155="",$S155=""),"INCOMPLETO",IF(LEFT($C155,3)="PTT",IF(COUNTIF('Estratos e PTTs'!$B$15:$B$30,$E155)=0,"TIPO PTT INVÁLIDO","OK"),"OK")))))</f>
        <v/>
      </c>
      <c r="X155" s="52"/>
    </row>
    <row r="156" ht="15.75" customHeight="1">
      <c r="A156" s="52"/>
      <c r="B156" s="28" t="str">
        <f>IF($A156="","",IFERROR(VLOOKUP($A156,'Resumo por docente'!$A$8:$B$57,2,FALSE),""))</f>
        <v/>
      </c>
      <c r="C156" s="38"/>
      <c r="D156" s="57"/>
      <c r="E156" s="38"/>
      <c r="F156" s="52"/>
      <c r="G156" s="38"/>
      <c r="H156" s="38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48" t="str">
        <f>IF($A156="","",IF(OR($C156="",$D156="",$E156="",$F156=""),"INCOMPLETO",IF(OR($D156&lt;2021,$D156&gt;2026),"ANO FORA DA JANELA",IF(OR(LOWER($U156)&lt;&gt;"sim",LOWER($V156)&lt;&gt;"sim",$G156="",$H156="",$J156="",$K156="",$M156="",$N156="",$Q156="",$R156="",$S156=""),"INCOMPLETO",IF(LEFT($C156,3)="PTT",IF(COUNTIF('Estratos e PTTs'!$B$15:$B$30,$E156)=0,"TIPO PTT INVÁLIDO","OK"),"OK")))))</f>
        <v/>
      </c>
      <c r="X156" s="52"/>
    </row>
    <row r="157" ht="15.75" customHeight="1">
      <c r="A157" s="52"/>
      <c r="B157" s="28" t="str">
        <f>IF($A157="","",IFERROR(VLOOKUP($A157,'Resumo por docente'!$A$8:$B$57,2,FALSE),""))</f>
        <v/>
      </c>
      <c r="C157" s="38"/>
      <c r="D157" s="57"/>
      <c r="E157" s="38"/>
      <c r="F157" s="52"/>
      <c r="G157" s="38"/>
      <c r="H157" s="38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48" t="str">
        <f>IF($A157="","",IF(OR($C157="",$D157="",$E157="",$F157=""),"INCOMPLETO",IF(OR($D157&lt;2021,$D157&gt;2026),"ANO FORA DA JANELA",IF(OR(LOWER($U157)&lt;&gt;"sim",LOWER($V157)&lt;&gt;"sim",$G157="",$H157="",$J157="",$K157="",$M157="",$N157="",$Q157="",$R157="",$S157=""),"INCOMPLETO",IF(LEFT($C157,3)="PTT",IF(COUNTIF('Estratos e PTTs'!$B$15:$B$30,$E157)=0,"TIPO PTT INVÁLIDO","OK"),"OK")))))</f>
        <v/>
      </c>
      <c r="X157" s="52"/>
    </row>
    <row r="158" ht="15.75" customHeight="1">
      <c r="A158" s="52"/>
      <c r="B158" s="28" t="str">
        <f>IF($A158="","",IFERROR(VLOOKUP($A158,'Resumo por docente'!$A$8:$B$57,2,FALSE),""))</f>
        <v/>
      </c>
      <c r="C158" s="38"/>
      <c r="D158" s="57"/>
      <c r="E158" s="38"/>
      <c r="F158" s="52"/>
      <c r="G158" s="38"/>
      <c r="H158" s="38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48" t="str">
        <f>IF($A158="","",IF(OR($C158="",$D158="",$E158="",$F158=""),"INCOMPLETO",IF(OR($D158&lt;2021,$D158&gt;2026),"ANO FORA DA JANELA",IF(OR(LOWER($U158)&lt;&gt;"sim",LOWER($V158)&lt;&gt;"sim",$G158="",$H158="",$J158="",$K158="",$M158="",$N158="",$Q158="",$R158="",$S158=""),"INCOMPLETO",IF(LEFT($C158,3)="PTT",IF(COUNTIF('Estratos e PTTs'!$B$15:$B$30,$E158)=0,"TIPO PTT INVÁLIDO","OK"),"OK")))))</f>
        <v/>
      </c>
      <c r="X158" s="52"/>
    </row>
    <row r="159" ht="15.75" customHeight="1">
      <c r="A159" s="52"/>
      <c r="B159" s="28" t="str">
        <f>IF($A159="","",IFERROR(VLOOKUP($A159,'Resumo por docente'!$A$8:$B$57,2,FALSE),""))</f>
        <v/>
      </c>
      <c r="C159" s="38"/>
      <c r="D159" s="57"/>
      <c r="E159" s="38"/>
      <c r="F159" s="52"/>
      <c r="G159" s="38"/>
      <c r="H159" s="38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48" t="str">
        <f>IF($A159="","",IF(OR($C159="",$D159="",$E159="",$F159=""),"INCOMPLETO",IF(OR($D159&lt;2021,$D159&gt;2026),"ANO FORA DA JANELA",IF(OR(LOWER($U159)&lt;&gt;"sim",LOWER($V159)&lt;&gt;"sim",$G159="",$H159="",$J159="",$K159="",$M159="",$N159="",$Q159="",$R159="",$S159=""),"INCOMPLETO",IF(LEFT($C159,3)="PTT",IF(COUNTIF('Estratos e PTTs'!$B$15:$B$30,$E159)=0,"TIPO PTT INVÁLIDO","OK"),"OK")))))</f>
        <v/>
      </c>
      <c r="X159" s="52"/>
    </row>
    <row r="160" ht="15.75" customHeight="1">
      <c r="A160" s="52"/>
      <c r="B160" s="28" t="str">
        <f>IF($A160="","",IFERROR(VLOOKUP($A160,'Resumo por docente'!$A$8:$B$57,2,FALSE),""))</f>
        <v/>
      </c>
      <c r="C160" s="38"/>
      <c r="D160" s="57"/>
      <c r="E160" s="38"/>
      <c r="F160" s="52"/>
      <c r="G160" s="38"/>
      <c r="H160" s="38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48" t="str">
        <f>IF($A160="","",IF(OR($C160="",$D160="",$E160="",$F160=""),"INCOMPLETO",IF(OR($D160&lt;2021,$D160&gt;2026),"ANO FORA DA JANELA",IF(OR(LOWER($U160)&lt;&gt;"sim",LOWER($V160)&lt;&gt;"sim",$G160="",$H160="",$J160="",$K160="",$M160="",$N160="",$Q160="",$R160="",$S160=""),"INCOMPLETO",IF(LEFT($C160,3)="PTT",IF(COUNTIF('Estratos e PTTs'!$B$15:$B$30,$E160)=0,"TIPO PTT INVÁLIDO","OK"),"OK")))))</f>
        <v/>
      </c>
      <c r="X160" s="52"/>
    </row>
    <row r="161" ht="15.75" customHeight="1">
      <c r="A161" s="52"/>
      <c r="B161" s="28" t="str">
        <f>IF($A161="","",IFERROR(VLOOKUP($A161,'Resumo por docente'!$A$8:$B$57,2,FALSE),""))</f>
        <v/>
      </c>
      <c r="C161" s="38"/>
      <c r="D161" s="57"/>
      <c r="E161" s="38"/>
      <c r="F161" s="52"/>
      <c r="G161" s="38"/>
      <c r="H161" s="38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48" t="str">
        <f>IF($A161="","",IF(OR($C161="",$D161="",$E161="",$F161=""),"INCOMPLETO",IF(OR($D161&lt;2021,$D161&gt;2026),"ANO FORA DA JANELA",IF(OR(LOWER($U161)&lt;&gt;"sim",LOWER($V161)&lt;&gt;"sim",$G161="",$H161="",$J161="",$K161="",$M161="",$N161="",$Q161="",$R161="",$S161=""),"INCOMPLETO",IF(LEFT($C161,3)="PTT",IF(COUNTIF('Estratos e PTTs'!$B$15:$B$30,$E161)=0,"TIPO PTT INVÁLIDO","OK"),"OK")))))</f>
        <v/>
      </c>
      <c r="X161" s="52"/>
    </row>
    <row r="162" ht="15.75" customHeight="1">
      <c r="A162" s="52"/>
      <c r="B162" s="28" t="str">
        <f>IF($A162="","",IFERROR(VLOOKUP($A162,'Resumo por docente'!$A$8:$B$57,2,FALSE),""))</f>
        <v/>
      </c>
      <c r="C162" s="38"/>
      <c r="D162" s="57"/>
      <c r="E162" s="38"/>
      <c r="F162" s="52"/>
      <c r="G162" s="38"/>
      <c r="H162" s="38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48" t="str">
        <f>IF($A162="","",IF(OR($C162="",$D162="",$E162="",$F162=""),"INCOMPLETO",IF(OR($D162&lt;2021,$D162&gt;2026),"ANO FORA DA JANELA",IF(OR(LOWER($U162)&lt;&gt;"sim",LOWER($V162)&lt;&gt;"sim",$G162="",$H162="",$J162="",$K162="",$M162="",$N162="",$Q162="",$R162="",$S162=""),"INCOMPLETO",IF(LEFT($C162,3)="PTT",IF(COUNTIF('Estratos e PTTs'!$B$15:$B$30,$E162)=0,"TIPO PTT INVÁLIDO","OK"),"OK")))))</f>
        <v/>
      </c>
      <c r="X162" s="52"/>
    </row>
    <row r="163" ht="15.75" customHeight="1">
      <c r="A163" s="52"/>
      <c r="B163" s="28" t="str">
        <f>IF($A163="","",IFERROR(VLOOKUP($A163,'Resumo por docente'!$A$8:$B$57,2,FALSE),""))</f>
        <v/>
      </c>
      <c r="C163" s="38"/>
      <c r="D163" s="57"/>
      <c r="E163" s="38"/>
      <c r="F163" s="52"/>
      <c r="G163" s="38"/>
      <c r="H163" s="38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48" t="str">
        <f>IF($A163="","",IF(OR($C163="",$D163="",$E163="",$F163=""),"INCOMPLETO",IF(OR($D163&lt;2021,$D163&gt;2026),"ANO FORA DA JANELA",IF(OR(LOWER($U163)&lt;&gt;"sim",LOWER($V163)&lt;&gt;"sim",$G163="",$H163="",$J163="",$K163="",$M163="",$N163="",$Q163="",$R163="",$S163=""),"INCOMPLETO",IF(LEFT($C163,3)="PTT",IF(COUNTIF('Estratos e PTTs'!$B$15:$B$30,$E163)=0,"TIPO PTT INVÁLIDO","OK"),"OK")))))</f>
        <v/>
      </c>
      <c r="X163" s="52"/>
    </row>
    <row r="164" ht="15.75" customHeight="1">
      <c r="A164" s="52"/>
      <c r="B164" s="28" t="str">
        <f>IF($A164="","",IFERROR(VLOOKUP($A164,'Resumo por docente'!$A$8:$B$57,2,FALSE),""))</f>
        <v/>
      </c>
      <c r="C164" s="38"/>
      <c r="D164" s="57"/>
      <c r="E164" s="38"/>
      <c r="F164" s="52"/>
      <c r="G164" s="38"/>
      <c r="H164" s="38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48" t="str">
        <f>IF($A164="","",IF(OR($C164="",$D164="",$E164="",$F164=""),"INCOMPLETO",IF(OR($D164&lt;2021,$D164&gt;2026),"ANO FORA DA JANELA",IF(OR(LOWER($U164)&lt;&gt;"sim",LOWER($V164)&lt;&gt;"sim",$G164="",$H164="",$J164="",$K164="",$M164="",$N164="",$Q164="",$R164="",$S164=""),"INCOMPLETO",IF(LEFT($C164,3)="PTT",IF(COUNTIF('Estratos e PTTs'!$B$15:$B$30,$E164)=0,"TIPO PTT INVÁLIDO","OK"),"OK")))))</f>
        <v/>
      </c>
      <c r="X164" s="52"/>
    </row>
    <row r="165" ht="15.75" customHeight="1">
      <c r="A165" s="52"/>
      <c r="B165" s="28" t="str">
        <f>IF($A165="","",IFERROR(VLOOKUP($A165,'Resumo por docente'!$A$8:$B$57,2,FALSE),""))</f>
        <v/>
      </c>
      <c r="C165" s="38"/>
      <c r="D165" s="57"/>
      <c r="E165" s="38"/>
      <c r="F165" s="52"/>
      <c r="G165" s="38"/>
      <c r="H165" s="38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48" t="str">
        <f>IF($A165="","",IF(OR($C165="",$D165="",$E165="",$F165=""),"INCOMPLETO",IF(OR($D165&lt;2021,$D165&gt;2026),"ANO FORA DA JANELA",IF(OR(LOWER($U165)&lt;&gt;"sim",LOWER($V165)&lt;&gt;"sim",$G165="",$H165="",$J165="",$K165="",$M165="",$N165="",$Q165="",$R165="",$S165=""),"INCOMPLETO",IF(LEFT($C165,3)="PTT",IF(COUNTIF('Estratos e PTTs'!$B$15:$B$30,$E165)=0,"TIPO PTT INVÁLIDO","OK"),"OK")))))</f>
        <v/>
      </c>
      <c r="X165" s="52"/>
    </row>
    <row r="166" ht="15.75" customHeight="1">
      <c r="A166" s="52"/>
      <c r="B166" s="28" t="str">
        <f>IF($A166="","",IFERROR(VLOOKUP($A166,'Resumo por docente'!$A$8:$B$57,2,FALSE),""))</f>
        <v/>
      </c>
      <c r="C166" s="38"/>
      <c r="D166" s="57"/>
      <c r="E166" s="38"/>
      <c r="F166" s="52"/>
      <c r="G166" s="38"/>
      <c r="H166" s="38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48" t="str">
        <f>IF($A166="","",IF(OR($C166="",$D166="",$E166="",$F166=""),"INCOMPLETO",IF(OR($D166&lt;2021,$D166&gt;2026),"ANO FORA DA JANELA",IF(OR(LOWER($U166)&lt;&gt;"sim",LOWER($V166)&lt;&gt;"sim",$G166="",$H166="",$J166="",$K166="",$M166="",$N166="",$Q166="",$R166="",$S166=""),"INCOMPLETO",IF(LEFT($C166,3)="PTT",IF(COUNTIF('Estratos e PTTs'!$B$15:$B$30,$E166)=0,"TIPO PTT INVÁLIDO","OK"),"OK")))))</f>
        <v/>
      </c>
      <c r="X166" s="52"/>
    </row>
    <row r="167" ht="15.75" customHeight="1">
      <c r="A167" s="52"/>
      <c r="B167" s="28" t="str">
        <f>IF($A167="","",IFERROR(VLOOKUP($A167,'Resumo por docente'!$A$8:$B$57,2,FALSE),""))</f>
        <v/>
      </c>
      <c r="C167" s="38"/>
      <c r="D167" s="57"/>
      <c r="E167" s="38"/>
      <c r="F167" s="52"/>
      <c r="G167" s="38"/>
      <c r="H167" s="38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48" t="str">
        <f>IF($A167="","",IF(OR($C167="",$D167="",$E167="",$F167=""),"INCOMPLETO",IF(OR($D167&lt;2021,$D167&gt;2026),"ANO FORA DA JANELA",IF(OR(LOWER($U167)&lt;&gt;"sim",LOWER($V167)&lt;&gt;"sim",$G167="",$H167="",$J167="",$K167="",$M167="",$N167="",$Q167="",$R167="",$S167=""),"INCOMPLETO",IF(LEFT($C167,3)="PTT",IF(COUNTIF('Estratos e PTTs'!$B$15:$B$30,$E167)=0,"TIPO PTT INVÁLIDO","OK"),"OK")))))</f>
        <v/>
      </c>
      <c r="X167" s="52"/>
    </row>
    <row r="168" ht="15.75" customHeight="1">
      <c r="A168" s="52"/>
      <c r="B168" s="28" t="str">
        <f>IF($A168="","",IFERROR(VLOOKUP($A168,'Resumo por docente'!$A$8:$B$57,2,FALSE),""))</f>
        <v/>
      </c>
      <c r="C168" s="38"/>
      <c r="D168" s="57"/>
      <c r="E168" s="38"/>
      <c r="F168" s="52"/>
      <c r="G168" s="38"/>
      <c r="H168" s="38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48" t="str">
        <f>IF($A168="","",IF(OR($C168="",$D168="",$E168="",$F168=""),"INCOMPLETO",IF(OR($D168&lt;2021,$D168&gt;2026),"ANO FORA DA JANELA",IF(OR(LOWER($U168)&lt;&gt;"sim",LOWER($V168)&lt;&gt;"sim",$G168="",$H168="",$J168="",$K168="",$M168="",$N168="",$Q168="",$R168="",$S168=""),"INCOMPLETO",IF(LEFT($C168,3)="PTT",IF(COUNTIF('Estratos e PTTs'!$B$15:$B$30,$E168)=0,"TIPO PTT INVÁLIDO","OK"),"OK")))))</f>
        <v/>
      </c>
      <c r="X168" s="52"/>
    </row>
    <row r="169" ht="15.75" customHeight="1">
      <c r="A169" s="52"/>
      <c r="B169" s="28" t="str">
        <f>IF($A169="","",IFERROR(VLOOKUP($A169,'Resumo por docente'!$A$8:$B$57,2,FALSE),""))</f>
        <v/>
      </c>
      <c r="C169" s="38"/>
      <c r="D169" s="57"/>
      <c r="E169" s="38"/>
      <c r="F169" s="52"/>
      <c r="G169" s="38"/>
      <c r="H169" s="38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48" t="str">
        <f>IF($A169="","",IF(OR($C169="",$D169="",$E169="",$F169=""),"INCOMPLETO",IF(OR($D169&lt;2021,$D169&gt;2026),"ANO FORA DA JANELA",IF(OR(LOWER($U169)&lt;&gt;"sim",LOWER($V169)&lt;&gt;"sim",$G169="",$H169="",$J169="",$K169="",$M169="",$N169="",$Q169="",$R169="",$S169=""),"INCOMPLETO",IF(LEFT($C169,3)="PTT",IF(COUNTIF('Estratos e PTTs'!$B$15:$B$30,$E169)=0,"TIPO PTT INVÁLIDO","OK"),"OK")))))</f>
        <v/>
      </c>
      <c r="X169" s="52"/>
    </row>
    <row r="170" ht="15.75" customHeight="1">
      <c r="A170" s="52"/>
      <c r="B170" s="28" t="str">
        <f>IF($A170="","",IFERROR(VLOOKUP($A170,'Resumo por docente'!$A$8:$B$57,2,FALSE),""))</f>
        <v/>
      </c>
      <c r="C170" s="38"/>
      <c r="D170" s="57"/>
      <c r="E170" s="38"/>
      <c r="F170" s="52"/>
      <c r="G170" s="38"/>
      <c r="H170" s="38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48" t="str">
        <f>IF($A170="","",IF(OR($C170="",$D170="",$E170="",$F170=""),"INCOMPLETO",IF(OR($D170&lt;2021,$D170&gt;2026),"ANO FORA DA JANELA",IF(OR(LOWER($U170)&lt;&gt;"sim",LOWER($V170)&lt;&gt;"sim",$G170="",$H170="",$J170="",$K170="",$M170="",$N170="",$Q170="",$R170="",$S170=""),"INCOMPLETO",IF(LEFT($C170,3)="PTT",IF(COUNTIF('Estratos e PTTs'!$B$15:$B$30,$E170)=0,"TIPO PTT INVÁLIDO","OK"),"OK")))))</f>
        <v/>
      </c>
      <c r="X170" s="52"/>
    </row>
    <row r="171" ht="15.75" customHeight="1">
      <c r="A171" s="52"/>
      <c r="B171" s="28" t="str">
        <f>IF($A171="","",IFERROR(VLOOKUP($A171,'Resumo por docente'!$A$8:$B$57,2,FALSE),""))</f>
        <v/>
      </c>
      <c r="C171" s="38"/>
      <c r="D171" s="57"/>
      <c r="E171" s="38"/>
      <c r="F171" s="52"/>
      <c r="G171" s="38"/>
      <c r="H171" s="38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48" t="str">
        <f>IF($A171="","",IF(OR($C171="",$D171="",$E171="",$F171=""),"INCOMPLETO",IF(OR($D171&lt;2021,$D171&gt;2026),"ANO FORA DA JANELA",IF(OR(LOWER($U171)&lt;&gt;"sim",LOWER($V171)&lt;&gt;"sim",$G171="",$H171="",$J171="",$K171="",$M171="",$N171="",$Q171="",$R171="",$S171=""),"INCOMPLETO",IF(LEFT($C171,3)="PTT",IF(COUNTIF('Estratos e PTTs'!$B$15:$B$30,$E171)=0,"TIPO PTT INVÁLIDO","OK"),"OK")))))</f>
        <v/>
      </c>
      <c r="X171" s="52"/>
    </row>
    <row r="172" ht="15.75" customHeight="1">
      <c r="A172" s="52"/>
      <c r="B172" s="28" t="str">
        <f>IF($A172="","",IFERROR(VLOOKUP($A172,'Resumo por docente'!$A$8:$B$57,2,FALSE),""))</f>
        <v/>
      </c>
      <c r="C172" s="38"/>
      <c r="D172" s="57"/>
      <c r="E172" s="38"/>
      <c r="F172" s="52"/>
      <c r="G172" s="38"/>
      <c r="H172" s="38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48" t="str">
        <f>IF($A172="","",IF(OR($C172="",$D172="",$E172="",$F172=""),"INCOMPLETO",IF(OR($D172&lt;2021,$D172&gt;2026),"ANO FORA DA JANELA",IF(OR(LOWER($U172)&lt;&gt;"sim",LOWER($V172)&lt;&gt;"sim",$G172="",$H172="",$J172="",$K172="",$M172="",$N172="",$Q172="",$R172="",$S172=""),"INCOMPLETO",IF(LEFT($C172,3)="PTT",IF(COUNTIF('Estratos e PTTs'!$B$15:$B$30,$E172)=0,"TIPO PTT INVÁLIDO","OK"),"OK")))))</f>
        <v/>
      </c>
      <c r="X172" s="52"/>
    </row>
    <row r="173" ht="15.75" customHeight="1">
      <c r="A173" s="52"/>
      <c r="B173" s="28" t="str">
        <f>IF($A173="","",IFERROR(VLOOKUP($A173,'Resumo por docente'!$A$8:$B$57,2,FALSE),""))</f>
        <v/>
      </c>
      <c r="C173" s="38"/>
      <c r="D173" s="57"/>
      <c r="E173" s="38"/>
      <c r="F173" s="52"/>
      <c r="G173" s="38"/>
      <c r="H173" s="38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48" t="str">
        <f>IF($A173="","",IF(OR($C173="",$D173="",$E173="",$F173=""),"INCOMPLETO",IF(OR($D173&lt;2021,$D173&gt;2026),"ANO FORA DA JANELA",IF(OR(LOWER($U173)&lt;&gt;"sim",LOWER($V173)&lt;&gt;"sim",$G173="",$H173="",$J173="",$K173="",$M173="",$N173="",$Q173="",$R173="",$S173=""),"INCOMPLETO",IF(LEFT($C173,3)="PTT",IF(COUNTIF('Estratos e PTTs'!$B$15:$B$30,$E173)=0,"TIPO PTT INVÁLIDO","OK"),"OK")))))</f>
        <v/>
      </c>
      <c r="X173" s="52"/>
    </row>
    <row r="174" ht="15.75" customHeight="1">
      <c r="A174" s="52"/>
      <c r="B174" s="28" t="str">
        <f>IF($A174="","",IFERROR(VLOOKUP($A174,'Resumo por docente'!$A$8:$B$57,2,FALSE),""))</f>
        <v/>
      </c>
      <c r="C174" s="38"/>
      <c r="D174" s="57"/>
      <c r="E174" s="38"/>
      <c r="F174" s="52"/>
      <c r="G174" s="38"/>
      <c r="H174" s="38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48" t="str">
        <f>IF($A174="","",IF(OR($C174="",$D174="",$E174="",$F174=""),"INCOMPLETO",IF(OR($D174&lt;2021,$D174&gt;2026),"ANO FORA DA JANELA",IF(OR(LOWER($U174)&lt;&gt;"sim",LOWER($V174)&lt;&gt;"sim",$G174="",$H174="",$J174="",$K174="",$M174="",$N174="",$Q174="",$R174="",$S174=""),"INCOMPLETO",IF(LEFT($C174,3)="PTT",IF(COUNTIF('Estratos e PTTs'!$B$15:$B$30,$E174)=0,"TIPO PTT INVÁLIDO","OK"),"OK")))))</f>
        <v/>
      </c>
      <c r="X174" s="52"/>
    </row>
    <row r="175" ht="15.75" customHeight="1">
      <c r="A175" s="52"/>
      <c r="B175" s="28" t="str">
        <f>IF($A175="","",IFERROR(VLOOKUP($A175,'Resumo por docente'!$A$8:$B$57,2,FALSE),""))</f>
        <v/>
      </c>
      <c r="C175" s="38"/>
      <c r="D175" s="57"/>
      <c r="E175" s="38"/>
      <c r="F175" s="52"/>
      <c r="G175" s="38"/>
      <c r="H175" s="38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48" t="str">
        <f>IF($A175="","",IF(OR($C175="",$D175="",$E175="",$F175=""),"INCOMPLETO",IF(OR($D175&lt;2021,$D175&gt;2026),"ANO FORA DA JANELA",IF(OR(LOWER($U175)&lt;&gt;"sim",LOWER($V175)&lt;&gt;"sim",$G175="",$H175="",$J175="",$K175="",$M175="",$N175="",$Q175="",$R175="",$S175=""),"INCOMPLETO",IF(LEFT($C175,3)="PTT",IF(COUNTIF('Estratos e PTTs'!$B$15:$B$30,$E175)=0,"TIPO PTT INVÁLIDO","OK"),"OK")))))</f>
        <v/>
      </c>
      <c r="X175" s="52"/>
    </row>
    <row r="176" ht="15.75" customHeight="1">
      <c r="A176" s="52"/>
      <c r="B176" s="28" t="str">
        <f>IF($A176="","",IFERROR(VLOOKUP($A176,'Resumo por docente'!$A$8:$B$57,2,FALSE),""))</f>
        <v/>
      </c>
      <c r="C176" s="38"/>
      <c r="D176" s="57"/>
      <c r="E176" s="38"/>
      <c r="F176" s="52"/>
      <c r="G176" s="38"/>
      <c r="H176" s="38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48" t="str">
        <f>IF($A176="","",IF(OR($C176="",$D176="",$E176="",$F176=""),"INCOMPLETO",IF(OR($D176&lt;2021,$D176&gt;2026),"ANO FORA DA JANELA",IF(OR(LOWER($U176)&lt;&gt;"sim",LOWER($V176)&lt;&gt;"sim",$G176="",$H176="",$J176="",$K176="",$M176="",$N176="",$Q176="",$R176="",$S176=""),"INCOMPLETO",IF(LEFT($C176,3)="PTT",IF(COUNTIF('Estratos e PTTs'!$B$15:$B$30,$E176)=0,"TIPO PTT INVÁLIDO","OK"),"OK")))))</f>
        <v/>
      </c>
      <c r="X176" s="52"/>
    </row>
    <row r="177" ht="15.75" customHeight="1">
      <c r="A177" s="52"/>
      <c r="B177" s="28" t="str">
        <f>IF($A177="","",IFERROR(VLOOKUP($A177,'Resumo por docente'!$A$8:$B$57,2,FALSE),""))</f>
        <v/>
      </c>
      <c r="C177" s="38"/>
      <c r="D177" s="57"/>
      <c r="E177" s="38"/>
      <c r="F177" s="52"/>
      <c r="G177" s="38"/>
      <c r="H177" s="38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48" t="str">
        <f>IF($A177="","",IF(OR($C177="",$D177="",$E177="",$F177=""),"INCOMPLETO",IF(OR($D177&lt;2021,$D177&gt;2026),"ANO FORA DA JANELA",IF(OR(LOWER($U177)&lt;&gt;"sim",LOWER($V177)&lt;&gt;"sim",$G177="",$H177="",$J177="",$K177="",$M177="",$N177="",$Q177="",$R177="",$S177=""),"INCOMPLETO",IF(LEFT($C177,3)="PTT",IF(COUNTIF('Estratos e PTTs'!$B$15:$B$30,$E177)=0,"TIPO PTT INVÁLIDO","OK"),"OK")))))</f>
        <v/>
      </c>
      <c r="X177" s="52"/>
    </row>
    <row r="178" ht="15.75" customHeight="1">
      <c r="A178" s="52"/>
      <c r="B178" s="28" t="str">
        <f>IF($A178="","",IFERROR(VLOOKUP($A178,'Resumo por docente'!$A$8:$B$57,2,FALSE),""))</f>
        <v/>
      </c>
      <c r="C178" s="38"/>
      <c r="D178" s="57"/>
      <c r="E178" s="38"/>
      <c r="F178" s="52"/>
      <c r="G178" s="38"/>
      <c r="H178" s="38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48" t="str">
        <f>IF($A178="","",IF(OR($C178="",$D178="",$E178="",$F178=""),"INCOMPLETO",IF(OR($D178&lt;2021,$D178&gt;2026),"ANO FORA DA JANELA",IF(OR(LOWER($U178)&lt;&gt;"sim",LOWER($V178)&lt;&gt;"sim",$G178="",$H178="",$J178="",$K178="",$M178="",$N178="",$Q178="",$R178="",$S178=""),"INCOMPLETO",IF(LEFT($C178,3)="PTT",IF(COUNTIF('Estratos e PTTs'!$B$15:$B$30,$E178)=0,"TIPO PTT INVÁLIDO","OK"),"OK")))))</f>
        <v/>
      </c>
      <c r="X178" s="52"/>
    </row>
    <row r="179" ht="15.75" customHeight="1">
      <c r="A179" s="52"/>
      <c r="B179" s="28" t="str">
        <f>IF($A179="","",IFERROR(VLOOKUP($A179,'Resumo por docente'!$A$8:$B$57,2,FALSE),""))</f>
        <v/>
      </c>
      <c r="C179" s="38"/>
      <c r="D179" s="57"/>
      <c r="E179" s="38"/>
      <c r="F179" s="52"/>
      <c r="G179" s="38"/>
      <c r="H179" s="38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48" t="str">
        <f>IF($A179="","",IF(OR($C179="",$D179="",$E179="",$F179=""),"INCOMPLETO",IF(OR($D179&lt;2021,$D179&gt;2026),"ANO FORA DA JANELA",IF(OR(LOWER($U179)&lt;&gt;"sim",LOWER($V179)&lt;&gt;"sim",$G179="",$H179="",$J179="",$K179="",$M179="",$N179="",$Q179="",$R179="",$S179=""),"INCOMPLETO",IF(LEFT($C179,3)="PTT",IF(COUNTIF('Estratos e PTTs'!$B$15:$B$30,$E179)=0,"TIPO PTT INVÁLIDO","OK"),"OK")))))</f>
        <v/>
      </c>
      <c r="X179" s="52"/>
    </row>
    <row r="180" ht="15.75" customHeight="1">
      <c r="A180" s="52"/>
      <c r="B180" s="28" t="str">
        <f>IF($A180="","",IFERROR(VLOOKUP($A180,'Resumo por docente'!$A$8:$B$57,2,FALSE),""))</f>
        <v/>
      </c>
      <c r="C180" s="38"/>
      <c r="D180" s="57"/>
      <c r="E180" s="38"/>
      <c r="F180" s="52"/>
      <c r="G180" s="38"/>
      <c r="H180" s="38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48" t="str">
        <f>IF($A180="","",IF(OR($C180="",$D180="",$E180="",$F180=""),"INCOMPLETO",IF(OR($D180&lt;2021,$D180&gt;2026),"ANO FORA DA JANELA",IF(OR(LOWER($U180)&lt;&gt;"sim",LOWER($V180)&lt;&gt;"sim",$G180="",$H180="",$J180="",$K180="",$M180="",$N180="",$Q180="",$R180="",$S180=""),"INCOMPLETO",IF(LEFT($C180,3)="PTT",IF(COUNTIF('Estratos e PTTs'!$B$15:$B$30,$E180)=0,"TIPO PTT INVÁLIDO","OK"),"OK")))))</f>
        <v/>
      </c>
      <c r="X180" s="52"/>
    </row>
    <row r="181" ht="15.75" customHeight="1">
      <c r="A181" s="52"/>
      <c r="B181" s="28" t="str">
        <f>IF($A181="","",IFERROR(VLOOKUP($A181,'Resumo por docente'!$A$8:$B$57,2,FALSE),""))</f>
        <v/>
      </c>
      <c r="C181" s="38"/>
      <c r="D181" s="57"/>
      <c r="E181" s="38"/>
      <c r="F181" s="52"/>
      <c r="G181" s="38"/>
      <c r="H181" s="38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48" t="str">
        <f>IF($A181="","",IF(OR($C181="",$D181="",$E181="",$F181=""),"INCOMPLETO",IF(OR($D181&lt;2021,$D181&gt;2026),"ANO FORA DA JANELA",IF(OR(LOWER($U181)&lt;&gt;"sim",LOWER($V181)&lt;&gt;"sim",$G181="",$H181="",$J181="",$K181="",$M181="",$N181="",$Q181="",$R181="",$S181=""),"INCOMPLETO",IF(LEFT($C181,3)="PTT",IF(COUNTIF('Estratos e PTTs'!$B$15:$B$30,$E181)=0,"TIPO PTT INVÁLIDO","OK"),"OK")))))</f>
        <v/>
      </c>
      <c r="X181" s="52"/>
    </row>
    <row r="182" ht="15.75" customHeight="1">
      <c r="A182" s="52"/>
      <c r="B182" s="28" t="str">
        <f>IF($A182="","",IFERROR(VLOOKUP($A182,'Resumo por docente'!$A$8:$B$57,2,FALSE),""))</f>
        <v/>
      </c>
      <c r="C182" s="38"/>
      <c r="D182" s="57"/>
      <c r="E182" s="38"/>
      <c r="F182" s="52"/>
      <c r="G182" s="38"/>
      <c r="H182" s="38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48" t="str">
        <f>IF($A182="","",IF(OR($C182="",$D182="",$E182="",$F182=""),"INCOMPLETO",IF(OR($D182&lt;2021,$D182&gt;2026),"ANO FORA DA JANELA",IF(OR(LOWER($U182)&lt;&gt;"sim",LOWER($V182)&lt;&gt;"sim",$G182="",$H182="",$J182="",$K182="",$M182="",$N182="",$Q182="",$R182="",$S182=""),"INCOMPLETO",IF(LEFT($C182,3)="PTT",IF(COUNTIF('Estratos e PTTs'!$B$15:$B$30,$E182)=0,"TIPO PTT INVÁLIDO","OK"),"OK")))))</f>
        <v/>
      </c>
      <c r="X182" s="52"/>
    </row>
    <row r="183" ht="15.75" customHeight="1">
      <c r="A183" s="52"/>
      <c r="B183" s="28" t="str">
        <f>IF($A183="","",IFERROR(VLOOKUP($A183,'Resumo por docente'!$A$8:$B$57,2,FALSE),""))</f>
        <v/>
      </c>
      <c r="C183" s="38"/>
      <c r="D183" s="57"/>
      <c r="E183" s="38"/>
      <c r="F183" s="52"/>
      <c r="G183" s="38"/>
      <c r="H183" s="38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48" t="str">
        <f>IF($A183="","",IF(OR($C183="",$D183="",$E183="",$F183=""),"INCOMPLETO",IF(OR($D183&lt;2021,$D183&gt;2026),"ANO FORA DA JANELA",IF(OR(LOWER($U183)&lt;&gt;"sim",LOWER($V183)&lt;&gt;"sim",$G183="",$H183="",$J183="",$K183="",$M183="",$N183="",$Q183="",$R183="",$S183=""),"INCOMPLETO",IF(LEFT($C183,3)="PTT",IF(COUNTIF('Estratos e PTTs'!$B$15:$B$30,$E183)=0,"TIPO PTT INVÁLIDO","OK"),"OK")))))</f>
        <v/>
      </c>
      <c r="X183" s="52"/>
    </row>
    <row r="184" ht="15.75" customHeight="1">
      <c r="A184" s="52"/>
      <c r="B184" s="28" t="str">
        <f>IF($A184="","",IFERROR(VLOOKUP($A184,'Resumo por docente'!$A$8:$B$57,2,FALSE),""))</f>
        <v/>
      </c>
      <c r="C184" s="38"/>
      <c r="D184" s="57"/>
      <c r="E184" s="38"/>
      <c r="F184" s="52"/>
      <c r="G184" s="38"/>
      <c r="H184" s="38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48" t="str">
        <f>IF($A184="","",IF(OR($C184="",$D184="",$E184="",$F184=""),"INCOMPLETO",IF(OR($D184&lt;2021,$D184&gt;2026),"ANO FORA DA JANELA",IF(OR(LOWER($U184)&lt;&gt;"sim",LOWER($V184)&lt;&gt;"sim",$G184="",$H184="",$J184="",$K184="",$M184="",$N184="",$Q184="",$R184="",$S184=""),"INCOMPLETO",IF(LEFT($C184,3)="PTT",IF(COUNTIF('Estratos e PTTs'!$B$15:$B$30,$E184)=0,"TIPO PTT INVÁLIDO","OK"),"OK")))))</f>
        <v/>
      </c>
      <c r="X184" s="52"/>
    </row>
    <row r="185" ht="15.75" customHeight="1">
      <c r="A185" s="52"/>
      <c r="B185" s="28" t="str">
        <f>IF($A185="","",IFERROR(VLOOKUP($A185,'Resumo por docente'!$A$8:$B$57,2,FALSE),""))</f>
        <v/>
      </c>
      <c r="C185" s="38"/>
      <c r="D185" s="57"/>
      <c r="E185" s="38"/>
      <c r="F185" s="52"/>
      <c r="G185" s="38"/>
      <c r="H185" s="38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48" t="str">
        <f>IF($A185="","",IF(OR($C185="",$D185="",$E185="",$F185=""),"INCOMPLETO",IF(OR($D185&lt;2021,$D185&gt;2026),"ANO FORA DA JANELA",IF(OR(LOWER($U185)&lt;&gt;"sim",LOWER($V185)&lt;&gt;"sim",$G185="",$H185="",$J185="",$K185="",$M185="",$N185="",$Q185="",$R185="",$S185=""),"INCOMPLETO",IF(LEFT($C185,3)="PTT",IF(COUNTIF('Estratos e PTTs'!$B$15:$B$30,$E185)=0,"TIPO PTT INVÁLIDO","OK"),"OK")))))</f>
        <v/>
      </c>
      <c r="X185" s="52"/>
    </row>
    <row r="186" ht="15.75" customHeight="1">
      <c r="A186" s="52"/>
      <c r="B186" s="28" t="str">
        <f>IF($A186="","",IFERROR(VLOOKUP($A186,'Resumo por docente'!$A$8:$B$57,2,FALSE),""))</f>
        <v/>
      </c>
      <c r="C186" s="38"/>
      <c r="D186" s="57"/>
      <c r="E186" s="38"/>
      <c r="F186" s="52"/>
      <c r="G186" s="38"/>
      <c r="H186" s="38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48" t="str">
        <f>IF($A186="","",IF(OR($C186="",$D186="",$E186="",$F186=""),"INCOMPLETO",IF(OR($D186&lt;2021,$D186&gt;2026),"ANO FORA DA JANELA",IF(OR(LOWER($U186)&lt;&gt;"sim",LOWER($V186)&lt;&gt;"sim",$G186="",$H186="",$J186="",$K186="",$M186="",$N186="",$Q186="",$R186="",$S186=""),"INCOMPLETO",IF(LEFT($C186,3)="PTT",IF(COUNTIF('Estratos e PTTs'!$B$15:$B$30,$E186)=0,"TIPO PTT INVÁLIDO","OK"),"OK")))))</f>
        <v/>
      </c>
      <c r="X186" s="52"/>
    </row>
    <row r="187" ht="15.75" customHeight="1">
      <c r="A187" s="52"/>
      <c r="B187" s="28" t="str">
        <f>IF($A187="","",IFERROR(VLOOKUP($A187,'Resumo por docente'!$A$8:$B$57,2,FALSE),""))</f>
        <v/>
      </c>
      <c r="C187" s="38"/>
      <c r="D187" s="57"/>
      <c r="E187" s="38"/>
      <c r="F187" s="52"/>
      <c r="G187" s="38"/>
      <c r="H187" s="38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48" t="str">
        <f>IF($A187="","",IF(OR($C187="",$D187="",$E187="",$F187=""),"INCOMPLETO",IF(OR($D187&lt;2021,$D187&gt;2026),"ANO FORA DA JANELA",IF(OR(LOWER($U187)&lt;&gt;"sim",LOWER($V187)&lt;&gt;"sim",$G187="",$H187="",$J187="",$K187="",$M187="",$N187="",$Q187="",$R187="",$S187=""),"INCOMPLETO",IF(LEFT($C187,3)="PTT",IF(COUNTIF('Estratos e PTTs'!$B$15:$B$30,$E187)=0,"TIPO PTT INVÁLIDO","OK"),"OK")))))</f>
        <v/>
      </c>
      <c r="X187" s="52"/>
    </row>
    <row r="188" ht="15.75" customHeight="1">
      <c r="A188" s="52"/>
      <c r="B188" s="28" t="str">
        <f>IF($A188="","",IFERROR(VLOOKUP($A188,'Resumo por docente'!$A$8:$B$57,2,FALSE),""))</f>
        <v/>
      </c>
      <c r="C188" s="38"/>
      <c r="D188" s="57"/>
      <c r="E188" s="38"/>
      <c r="F188" s="52"/>
      <c r="G188" s="38"/>
      <c r="H188" s="38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48" t="str">
        <f>IF($A188="","",IF(OR($C188="",$D188="",$E188="",$F188=""),"INCOMPLETO",IF(OR($D188&lt;2021,$D188&gt;2026),"ANO FORA DA JANELA",IF(OR(LOWER($U188)&lt;&gt;"sim",LOWER($V188)&lt;&gt;"sim",$G188="",$H188="",$J188="",$K188="",$M188="",$N188="",$Q188="",$R188="",$S188=""),"INCOMPLETO",IF(LEFT($C188,3)="PTT",IF(COUNTIF('Estratos e PTTs'!$B$15:$B$30,$E188)=0,"TIPO PTT INVÁLIDO","OK"),"OK")))))</f>
        <v/>
      </c>
      <c r="X188" s="52"/>
    </row>
    <row r="189" ht="15.75" customHeight="1">
      <c r="A189" s="52"/>
      <c r="B189" s="28" t="str">
        <f>IF($A189="","",IFERROR(VLOOKUP($A189,'Resumo por docente'!$A$8:$B$57,2,FALSE),""))</f>
        <v/>
      </c>
      <c r="C189" s="38"/>
      <c r="D189" s="57"/>
      <c r="E189" s="38"/>
      <c r="F189" s="52"/>
      <c r="G189" s="38"/>
      <c r="H189" s="38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48" t="str">
        <f>IF($A189="","",IF(OR($C189="",$D189="",$E189="",$F189=""),"INCOMPLETO",IF(OR($D189&lt;2021,$D189&gt;2026),"ANO FORA DA JANELA",IF(OR(LOWER($U189)&lt;&gt;"sim",LOWER($V189)&lt;&gt;"sim",$G189="",$H189="",$J189="",$K189="",$M189="",$N189="",$Q189="",$R189="",$S189=""),"INCOMPLETO",IF(LEFT($C189,3)="PTT",IF(COUNTIF('Estratos e PTTs'!$B$15:$B$30,$E189)=0,"TIPO PTT INVÁLIDO","OK"),"OK")))))</f>
        <v/>
      </c>
      <c r="X189" s="52"/>
    </row>
    <row r="190" ht="15.75" customHeight="1">
      <c r="A190" s="52"/>
      <c r="B190" s="28" t="str">
        <f>IF($A190="","",IFERROR(VLOOKUP($A190,'Resumo por docente'!$A$8:$B$57,2,FALSE),""))</f>
        <v/>
      </c>
      <c r="C190" s="38"/>
      <c r="D190" s="57"/>
      <c r="E190" s="38"/>
      <c r="F190" s="52"/>
      <c r="G190" s="38"/>
      <c r="H190" s="38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48" t="str">
        <f>IF($A190="","",IF(OR($C190="",$D190="",$E190="",$F190=""),"INCOMPLETO",IF(OR($D190&lt;2021,$D190&gt;2026),"ANO FORA DA JANELA",IF(OR(LOWER($U190)&lt;&gt;"sim",LOWER($V190)&lt;&gt;"sim",$G190="",$H190="",$J190="",$K190="",$M190="",$N190="",$Q190="",$R190="",$S190=""),"INCOMPLETO",IF(LEFT($C190,3)="PTT",IF(COUNTIF('Estratos e PTTs'!$B$15:$B$30,$E190)=0,"TIPO PTT INVÁLIDO","OK"),"OK")))))</f>
        <v/>
      </c>
      <c r="X190" s="52"/>
    </row>
    <row r="191" ht="15.75" customHeight="1">
      <c r="A191" s="52"/>
      <c r="B191" s="28" t="str">
        <f>IF($A191="","",IFERROR(VLOOKUP($A191,'Resumo por docente'!$A$8:$B$57,2,FALSE),""))</f>
        <v/>
      </c>
      <c r="C191" s="38"/>
      <c r="D191" s="57"/>
      <c r="E191" s="38"/>
      <c r="F191" s="52"/>
      <c r="G191" s="38"/>
      <c r="H191" s="38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48" t="str">
        <f>IF($A191="","",IF(OR($C191="",$D191="",$E191="",$F191=""),"INCOMPLETO",IF(OR($D191&lt;2021,$D191&gt;2026),"ANO FORA DA JANELA",IF(OR(LOWER($U191)&lt;&gt;"sim",LOWER($V191)&lt;&gt;"sim",$G191="",$H191="",$J191="",$K191="",$M191="",$N191="",$Q191="",$R191="",$S191=""),"INCOMPLETO",IF(LEFT($C191,3)="PTT",IF(COUNTIF('Estratos e PTTs'!$B$15:$B$30,$E191)=0,"TIPO PTT INVÁLIDO","OK"),"OK")))))</f>
        <v/>
      </c>
      <c r="X191" s="52"/>
    </row>
    <row r="192" ht="15.75" customHeight="1">
      <c r="A192" s="52"/>
      <c r="B192" s="28" t="str">
        <f>IF($A192="","",IFERROR(VLOOKUP($A192,'Resumo por docente'!$A$8:$B$57,2,FALSE),""))</f>
        <v/>
      </c>
      <c r="C192" s="38"/>
      <c r="D192" s="57"/>
      <c r="E192" s="38"/>
      <c r="F192" s="52"/>
      <c r="G192" s="38"/>
      <c r="H192" s="38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48" t="str">
        <f>IF($A192="","",IF(OR($C192="",$D192="",$E192="",$F192=""),"INCOMPLETO",IF(OR($D192&lt;2021,$D192&gt;2026),"ANO FORA DA JANELA",IF(OR(LOWER($U192)&lt;&gt;"sim",LOWER($V192)&lt;&gt;"sim",$G192="",$H192="",$J192="",$K192="",$M192="",$N192="",$Q192="",$R192="",$S192=""),"INCOMPLETO",IF(LEFT($C192,3)="PTT",IF(COUNTIF('Estratos e PTTs'!$B$15:$B$30,$E192)=0,"TIPO PTT INVÁLIDO","OK"),"OK")))))</f>
        <v/>
      </c>
      <c r="X192" s="52"/>
    </row>
    <row r="193" ht="15.75" customHeight="1">
      <c r="A193" s="52"/>
      <c r="B193" s="28" t="str">
        <f>IF($A193="","",IFERROR(VLOOKUP($A193,'Resumo por docente'!$A$8:$B$57,2,FALSE),""))</f>
        <v/>
      </c>
      <c r="C193" s="38"/>
      <c r="D193" s="57"/>
      <c r="E193" s="38"/>
      <c r="F193" s="52"/>
      <c r="G193" s="38"/>
      <c r="H193" s="38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48" t="str">
        <f>IF($A193="","",IF(OR($C193="",$D193="",$E193="",$F193=""),"INCOMPLETO",IF(OR($D193&lt;2021,$D193&gt;2026),"ANO FORA DA JANELA",IF(OR(LOWER($U193)&lt;&gt;"sim",LOWER($V193)&lt;&gt;"sim",$G193="",$H193="",$J193="",$K193="",$M193="",$N193="",$Q193="",$R193="",$S193=""),"INCOMPLETO",IF(LEFT($C193,3)="PTT",IF(COUNTIF('Estratos e PTTs'!$B$15:$B$30,$E193)=0,"TIPO PTT INVÁLIDO","OK"),"OK")))))</f>
        <v/>
      </c>
      <c r="X193" s="52"/>
    </row>
    <row r="194" ht="15.75" customHeight="1">
      <c r="A194" s="52"/>
      <c r="B194" s="28" t="str">
        <f>IF($A194="","",IFERROR(VLOOKUP($A194,'Resumo por docente'!$A$8:$B$57,2,FALSE),""))</f>
        <v/>
      </c>
      <c r="C194" s="38"/>
      <c r="D194" s="57"/>
      <c r="E194" s="38"/>
      <c r="F194" s="52"/>
      <c r="G194" s="38"/>
      <c r="H194" s="38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48" t="str">
        <f>IF($A194="","",IF(OR($C194="",$D194="",$E194="",$F194=""),"INCOMPLETO",IF(OR($D194&lt;2021,$D194&gt;2026),"ANO FORA DA JANELA",IF(OR(LOWER($U194)&lt;&gt;"sim",LOWER($V194)&lt;&gt;"sim",$G194="",$H194="",$J194="",$K194="",$M194="",$N194="",$Q194="",$R194="",$S194=""),"INCOMPLETO",IF(LEFT($C194,3)="PTT",IF(COUNTIF('Estratos e PTTs'!$B$15:$B$30,$E194)=0,"TIPO PTT INVÁLIDO","OK"),"OK")))))</f>
        <v/>
      </c>
      <c r="X194" s="52"/>
    </row>
    <row r="195" ht="15.75" customHeight="1">
      <c r="A195" s="52"/>
      <c r="B195" s="28" t="str">
        <f>IF($A195="","",IFERROR(VLOOKUP($A195,'Resumo por docente'!$A$8:$B$57,2,FALSE),""))</f>
        <v/>
      </c>
      <c r="C195" s="38"/>
      <c r="D195" s="57"/>
      <c r="E195" s="38"/>
      <c r="F195" s="52"/>
      <c r="G195" s="38"/>
      <c r="H195" s="38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48" t="str">
        <f>IF($A195="","",IF(OR($C195="",$D195="",$E195="",$F195=""),"INCOMPLETO",IF(OR($D195&lt;2021,$D195&gt;2026),"ANO FORA DA JANELA",IF(OR(LOWER($U195)&lt;&gt;"sim",LOWER($V195)&lt;&gt;"sim",$G195="",$H195="",$J195="",$K195="",$M195="",$N195="",$Q195="",$R195="",$S195=""),"INCOMPLETO",IF(LEFT($C195,3)="PTT",IF(COUNTIF('Estratos e PTTs'!$B$15:$B$30,$E195)=0,"TIPO PTT INVÁLIDO","OK"),"OK")))))</f>
        <v/>
      </c>
      <c r="X195" s="52"/>
    </row>
    <row r="196" ht="15.75" customHeight="1">
      <c r="A196" s="52"/>
      <c r="B196" s="28" t="str">
        <f>IF($A196="","",IFERROR(VLOOKUP($A196,'Resumo por docente'!$A$8:$B$57,2,FALSE),""))</f>
        <v/>
      </c>
      <c r="C196" s="38"/>
      <c r="D196" s="57"/>
      <c r="E196" s="38"/>
      <c r="F196" s="52"/>
      <c r="G196" s="38"/>
      <c r="H196" s="38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48" t="str">
        <f>IF($A196="","",IF(OR($C196="",$D196="",$E196="",$F196=""),"INCOMPLETO",IF(OR($D196&lt;2021,$D196&gt;2026),"ANO FORA DA JANELA",IF(OR(LOWER($U196)&lt;&gt;"sim",LOWER($V196)&lt;&gt;"sim",$G196="",$H196="",$J196="",$K196="",$M196="",$N196="",$Q196="",$R196="",$S196=""),"INCOMPLETO",IF(LEFT($C196,3)="PTT",IF(COUNTIF('Estratos e PTTs'!$B$15:$B$30,$E196)=0,"TIPO PTT INVÁLIDO","OK"),"OK")))))</f>
        <v/>
      </c>
      <c r="X196" s="52"/>
    </row>
    <row r="197" ht="15.75" customHeight="1">
      <c r="A197" s="52"/>
      <c r="B197" s="28" t="str">
        <f>IF($A197="","",IFERROR(VLOOKUP($A197,'Resumo por docente'!$A$8:$B$57,2,FALSE),""))</f>
        <v/>
      </c>
      <c r="C197" s="38"/>
      <c r="D197" s="57"/>
      <c r="E197" s="38"/>
      <c r="F197" s="52"/>
      <c r="G197" s="38"/>
      <c r="H197" s="38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48" t="str">
        <f>IF($A197="","",IF(OR($C197="",$D197="",$E197="",$F197=""),"INCOMPLETO",IF(OR($D197&lt;2021,$D197&gt;2026),"ANO FORA DA JANELA",IF(OR(LOWER($U197)&lt;&gt;"sim",LOWER($V197)&lt;&gt;"sim",$G197="",$H197="",$J197="",$K197="",$M197="",$N197="",$Q197="",$R197="",$S197=""),"INCOMPLETO",IF(LEFT($C197,3)="PTT",IF(COUNTIF('Estratos e PTTs'!$B$15:$B$30,$E197)=0,"TIPO PTT INVÁLIDO","OK"),"OK")))))</f>
        <v/>
      </c>
      <c r="X197" s="52"/>
    </row>
    <row r="198" ht="15.75" customHeight="1">
      <c r="A198" s="52"/>
      <c r="B198" s="28" t="str">
        <f>IF($A198="","",IFERROR(VLOOKUP($A198,'Resumo por docente'!$A$8:$B$57,2,FALSE),""))</f>
        <v/>
      </c>
      <c r="C198" s="38"/>
      <c r="D198" s="57"/>
      <c r="E198" s="38"/>
      <c r="F198" s="52"/>
      <c r="G198" s="38"/>
      <c r="H198" s="38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48" t="str">
        <f>IF($A198="","",IF(OR($C198="",$D198="",$E198="",$F198=""),"INCOMPLETO",IF(OR($D198&lt;2021,$D198&gt;2026),"ANO FORA DA JANELA",IF(OR(LOWER($U198)&lt;&gt;"sim",LOWER($V198)&lt;&gt;"sim",$G198="",$H198="",$J198="",$K198="",$M198="",$N198="",$Q198="",$R198="",$S198=""),"INCOMPLETO",IF(LEFT($C198,3)="PTT",IF(COUNTIF('Estratos e PTTs'!$B$15:$B$30,$E198)=0,"TIPO PTT INVÁLIDO","OK"),"OK")))))</f>
        <v/>
      </c>
      <c r="X198" s="52"/>
    </row>
    <row r="199" ht="15.75" customHeight="1">
      <c r="A199" s="52"/>
      <c r="B199" s="28" t="str">
        <f>IF($A199="","",IFERROR(VLOOKUP($A199,'Resumo por docente'!$A$8:$B$57,2,FALSE),""))</f>
        <v/>
      </c>
      <c r="C199" s="38"/>
      <c r="D199" s="57"/>
      <c r="E199" s="38"/>
      <c r="F199" s="52"/>
      <c r="G199" s="38"/>
      <c r="H199" s="38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48" t="str">
        <f>IF($A199="","",IF(OR($C199="",$D199="",$E199="",$F199=""),"INCOMPLETO",IF(OR($D199&lt;2021,$D199&gt;2026),"ANO FORA DA JANELA",IF(OR(LOWER($U199)&lt;&gt;"sim",LOWER($V199)&lt;&gt;"sim",$G199="",$H199="",$J199="",$K199="",$M199="",$N199="",$Q199="",$R199="",$S199=""),"INCOMPLETO",IF(LEFT($C199,3)="PTT",IF(COUNTIF('Estratos e PTTs'!$B$15:$B$30,$E199)=0,"TIPO PTT INVÁLIDO","OK"),"OK")))))</f>
        <v/>
      </c>
      <c r="X199" s="52"/>
    </row>
    <row r="200" ht="15.75" customHeight="1">
      <c r="A200" s="52"/>
      <c r="B200" s="28" t="str">
        <f>IF($A200="","",IFERROR(VLOOKUP($A200,'Resumo por docente'!$A$8:$B$57,2,FALSE),""))</f>
        <v/>
      </c>
      <c r="C200" s="38"/>
      <c r="D200" s="57"/>
      <c r="E200" s="38"/>
      <c r="F200" s="52"/>
      <c r="G200" s="38"/>
      <c r="H200" s="38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48" t="str">
        <f>IF($A200="","",IF(OR($C200="",$D200="",$E200="",$F200=""),"INCOMPLETO",IF(OR($D200&lt;2021,$D200&gt;2026),"ANO FORA DA JANELA",IF(OR(LOWER($U200)&lt;&gt;"sim",LOWER($V200)&lt;&gt;"sim",$G200="",$H200="",$J200="",$K200="",$M200="",$N200="",$Q200="",$R200="",$S200=""),"INCOMPLETO",IF(LEFT($C200,3)="PTT",IF(COUNTIF('Estratos e PTTs'!$B$15:$B$30,$E200)=0,"TIPO PTT INVÁLIDO","OK"),"OK")))))</f>
        <v/>
      </c>
      <c r="X200" s="52"/>
    </row>
    <row r="201" ht="15.75" customHeight="1">
      <c r="A201" s="52"/>
      <c r="B201" s="28" t="str">
        <f>IF($A201="","",IFERROR(VLOOKUP($A201,'Resumo por docente'!$A$8:$B$57,2,FALSE),""))</f>
        <v/>
      </c>
      <c r="C201" s="38"/>
      <c r="D201" s="57"/>
      <c r="E201" s="38"/>
      <c r="F201" s="52"/>
      <c r="G201" s="38"/>
      <c r="H201" s="38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48" t="str">
        <f>IF($A201="","",IF(OR($C201="",$D201="",$E201="",$F201=""),"INCOMPLETO",IF(OR($D201&lt;2021,$D201&gt;2026),"ANO FORA DA JANELA",IF(OR(LOWER($U201)&lt;&gt;"sim",LOWER($V201)&lt;&gt;"sim",$G201="",$H201="",$J201="",$K201="",$M201="",$N201="",$Q201="",$R201="",$S201=""),"INCOMPLETO",IF(LEFT($C201,3)="PTT",IF(COUNTIF('Estratos e PTTs'!$B$15:$B$30,$E201)=0,"TIPO PTT INVÁLIDO","OK"),"OK")))))</f>
        <v/>
      </c>
      <c r="X201" s="52"/>
    </row>
    <row r="202" ht="15.75" customHeight="1">
      <c r="A202" s="52"/>
      <c r="B202" s="28" t="str">
        <f>IF($A202="","",IFERROR(VLOOKUP($A202,'Resumo por docente'!$A$8:$B$57,2,FALSE),""))</f>
        <v/>
      </c>
      <c r="C202" s="38"/>
      <c r="D202" s="57"/>
      <c r="E202" s="38"/>
      <c r="F202" s="52"/>
      <c r="G202" s="38"/>
      <c r="H202" s="38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48" t="str">
        <f>IF($A202="","",IF(OR($C202="",$D202="",$E202="",$F202=""),"INCOMPLETO",IF(OR($D202&lt;2021,$D202&gt;2026),"ANO FORA DA JANELA",IF(OR(LOWER($U202)&lt;&gt;"sim",LOWER($V202)&lt;&gt;"sim",$G202="",$H202="",$J202="",$K202="",$M202="",$N202="",$Q202="",$R202="",$S202=""),"INCOMPLETO",IF(LEFT($C202,3)="PTT",IF(COUNTIF('Estratos e PTTs'!$B$15:$B$30,$E202)=0,"TIPO PTT INVÁLIDO","OK"),"OK")))))</f>
        <v/>
      </c>
      <c r="X202" s="52"/>
    </row>
    <row r="203" ht="15.75" customHeight="1">
      <c r="A203" s="52"/>
      <c r="B203" s="28" t="str">
        <f>IF($A203="","",IFERROR(VLOOKUP($A203,'Resumo por docente'!$A$8:$B$57,2,FALSE),""))</f>
        <v/>
      </c>
      <c r="C203" s="38"/>
      <c r="D203" s="57"/>
      <c r="E203" s="38"/>
      <c r="F203" s="52"/>
      <c r="G203" s="38"/>
      <c r="H203" s="38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48" t="str">
        <f>IF($A203="","",IF(OR($C203="",$D203="",$E203="",$F203=""),"INCOMPLETO",IF(OR($D203&lt;2021,$D203&gt;2026),"ANO FORA DA JANELA",IF(OR(LOWER($U203)&lt;&gt;"sim",LOWER($V203)&lt;&gt;"sim",$G203="",$H203="",$J203="",$K203="",$M203="",$N203="",$Q203="",$R203="",$S203=""),"INCOMPLETO",IF(LEFT($C203,3)="PTT",IF(COUNTIF('Estratos e PTTs'!$B$15:$B$30,$E203)=0,"TIPO PTT INVÁLIDO","OK"),"OK")))))</f>
        <v/>
      </c>
      <c r="X203" s="52"/>
    </row>
    <row r="204" ht="15.75" customHeight="1">
      <c r="A204" s="52"/>
      <c r="B204" s="28" t="str">
        <f>IF($A204="","",IFERROR(VLOOKUP($A204,'Resumo por docente'!$A$8:$B$57,2,FALSE),""))</f>
        <v/>
      </c>
      <c r="C204" s="38"/>
      <c r="D204" s="57"/>
      <c r="E204" s="38"/>
      <c r="F204" s="52"/>
      <c r="G204" s="38"/>
      <c r="H204" s="38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48" t="str">
        <f>IF($A204="","",IF(OR($C204="",$D204="",$E204="",$F204=""),"INCOMPLETO",IF(OR($D204&lt;2021,$D204&gt;2026),"ANO FORA DA JANELA",IF(OR(LOWER($U204)&lt;&gt;"sim",LOWER($V204)&lt;&gt;"sim",$G204="",$H204="",$J204="",$K204="",$M204="",$N204="",$Q204="",$R204="",$S204=""),"INCOMPLETO",IF(LEFT($C204,3)="PTT",IF(COUNTIF('Estratos e PTTs'!$B$15:$B$30,$E204)=0,"TIPO PTT INVÁLIDO","OK"),"OK")))))</f>
        <v/>
      </c>
      <c r="X204" s="52"/>
    </row>
    <row r="205" ht="15.75" customHeight="1">
      <c r="A205" s="52"/>
      <c r="B205" s="28" t="str">
        <f>IF($A205="","",IFERROR(VLOOKUP($A205,'Resumo por docente'!$A$8:$B$57,2,FALSE),""))</f>
        <v/>
      </c>
      <c r="C205" s="38"/>
      <c r="D205" s="57"/>
      <c r="E205" s="38"/>
      <c r="F205" s="52"/>
      <c r="G205" s="38"/>
      <c r="H205" s="38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48" t="str">
        <f>IF($A205="","",IF(OR($C205="",$D205="",$E205="",$F205=""),"INCOMPLETO",IF(OR($D205&lt;2021,$D205&gt;2026),"ANO FORA DA JANELA",IF(OR(LOWER($U205)&lt;&gt;"sim",LOWER($V205)&lt;&gt;"sim",$G205="",$H205="",$J205="",$K205="",$M205="",$N205="",$Q205="",$R205="",$S205=""),"INCOMPLETO",IF(LEFT($C205,3)="PTT",IF(COUNTIF('Estratos e PTTs'!$B$15:$B$30,$E205)=0,"TIPO PTT INVÁLIDO","OK"),"OK")))))</f>
        <v/>
      </c>
      <c r="X205" s="52"/>
    </row>
    <row r="206" ht="15.75" customHeight="1">
      <c r="A206" s="52"/>
      <c r="B206" s="28" t="str">
        <f>IF($A206="","",IFERROR(VLOOKUP($A206,'Resumo por docente'!$A$8:$B$57,2,FALSE),""))</f>
        <v/>
      </c>
      <c r="C206" s="38"/>
      <c r="D206" s="57"/>
      <c r="E206" s="38"/>
      <c r="F206" s="52"/>
      <c r="G206" s="38"/>
      <c r="H206" s="38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48" t="str">
        <f>IF($A206="","",IF(OR($C206="",$D206="",$E206="",$F206=""),"INCOMPLETO",IF(OR($D206&lt;2021,$D206&gt;2026),"ANO FORA DA JANELA",IF(OR(LOWER($U206)&lt;&gt;"sim",LOWER($V206)&lt;&gt;"sim",$G206="",$H206="",$J206="",$K206="",$M206="",$N206="",$Q206="",$R206="",$S206=""),"INCOMPLETO",IF(LEFT($C206,3)="PTT",IF(COUNTIF('Estratos e PTTs'!$B$15:$B$30,$E206)=0,"TIPO PTT INVÁLIDO","OK"),"OK")))))</f>
        <v/>
      </c>
      <c r="X206" s="52"/>
    </row>
    <row r="207" ht="15.75" customHeight="1">
      <c r="A207" s="52"/>
      <c r="B207" s="28" t="str">
        <f>IF($A207="","",IFERROR(VLOOKUP($A207,'Resumo por docente'!$A$8:$B$57,2,FALSE),""))</f>
        <v/>
      </c>
      <c r="C207" s="38"/>
      <c r="D207" s="57"/>
      <c r="E207" s="38"/>
      <c r="F207" s="52"/>
      <c r="G207" s="38"/>
      <c r="H207" s="38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48" t="str">
        <f>IF($A207="","",IF(OR($C207="",$D207="",$E207="",$F207=""),"INCOMPLETO",IF(OR($D207&lt;2021,$D207&gt;2026),"ANO FORA DA JANELA",IF(OR(LOWER($U207)&lt;&gt;"sim",LOWER($V207)&lt;&gt;"sim",$G207="",$H207="",$J207="",$K207="",$M207="",$N207="",$Q207="",$R207="",$S207=""),"INCOMPLETO",IF(LEFT($C207,3)="PTT",IF(COUNTIF('Estratos e PTTs'!$B$15:$B$30,$E207)=0,"TIPO PTT INVÁLIDO","OK"),"OK")))))</f>
        <v/>
      </c>
      <c r="X207" s="52"/>
    </row>
    <row r="208" ht="15.75" customHeight="1">
      <c r="A208" s="52"/>
      <c r="B208" s="28" t="str">
        <f>IF($A208="","",IFERROR(VLOOKUP($A208,'Resumo por docente'!$A$8:$B$57,2,FALSE),""))</f>
        <v/>
      </c>
      <c r="C208" s="38"/>
      <c r="D208" s="57"/>
      <c r="E208" s="38"/>
      <c r="F208" s="52"/>
      <c r="G208" s="38"/>
      <c r="H208" s="38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48" t="str">
        <f>IF($A208="","",IF(OR($C208="",$D208="",$E208="",$F208=""),"INCOMPLETO",IF(OR($D208&lt;2021,$D208&gt;2026),"ANO FORA DA JANELA",IF(OR(LOWER($U208)&lt;&gt;"sim",LOWER($V208)&lt;&gt;"sim",$G208="",$H208="",$J208="",$K208="",$M208="",$N208="",$Q208="",$R208="",$S208=""),"INCOMPLETO",IF(LEFT($C208,3)="PTT",IF(COUNTIF('Estratos e PTTs'!$B$15:$B$30,$E208)=0,"TIPO PTT INVÁLIDO","OK"),"OK")))))</f>
        <v/>
      </c>
      <c r="X208" s="52"/>
    </row>
    <row r="209" ht="15.75" customHeight="1">
      <c r="A209" s="52"/>
      <c r="B209" s="28" t="str">
        <f>IF($A209="","",IFERROR(VLOOKUP($A209,'Resumo por docente'!$A$8:$B$57,2,FALSE),""))</f>
        <v/>
      </c>
      <c r="C209" s="38"/>
      <c r="D209" s="57"/>
      <c r="E209" s="38"/>
      <c r="F209" s="52"/>
      <c r="G209" s="38"/>
      <c r="H209" s="38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48" t="str">
        <f>IF($A209="","",IF(OR($C209="",$D209="",$E209="",$F209=""),"INCOMPLETO",IF(OR($D209&lt;2021,$D209&gt;2026),"ANO FORA DA JANELA",IF(OR(LOWER($U209)&lt;&gt;"sim",LOWER($V209)&lt;&gt;"sim",$G209="",$H209="",$J209="",$K209="",$M209="",$N209="",$Q209="",$R209="",$S209=""),"INCOMPLETO",IF(LEFT($C209,3)="PTT",IF(COUNTIF('Estratos e PTTs'!$B$15:$B$30,$E209)=0,"TIPO PTT INVÁLIDO","OK"),"OK")))))</f>
        <v/>
      </c>
      <c r="X209" s="52"/>
    </row>
    <row r="210" ht="15.75" customHeight="1">
      <c r="A210" s="52"/>
      <c r="B210" s="28" t="str">
        <f>IF($A210="","",IFERROR(VLOOKUP($A210,'Resumo por docente'!$A$8:$B$57,2,FALSE),""))</f>
        <v/>
      </c>
      <c r="C210" s="38"/>
      <c r="D210" s="57"/>
      <c r="E210" s="38"/>
      <c r="F210" s="52"/>
      <c r="G210" s="38"/>
      <c r="H210" s="38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48" t="str">
        <f>IF($A210="","",IF(OR($C210="",$D210="",$E210="",$F210=""),"INCOMPLETO",IF(OR($D210&lt;2021,$D210&gt;2026),"ANO FORA DA JANELA",IF(OR(LOWER($U210)&lt;&gt;"sim",LOWER($V210)&lt;&gt;"sim",$G210="",$H210="",$J210="",$K210="",$M210="",$N210="",$Q210="",$R210="",$S210=""),"INCOMPLETO",IF(LEFT($C210,3)="PTT",IF(COUNTIF('Estratos e PTTs'!$B$15:$B$30,$E210)=0,"TIPO PTT INVÁLIDO","OK"),"OK")))))</f>
        <v/>
      </c>
      <c r="X210" s="52"/>
    </row>
    <row r="211" ht="15.75" customHeight="1">
      <c r="A211" s="52"/>
      <c r="B211" s="28" t="str">
        <f>IF($A211="","",IFERROR(VLOOKUP($A211,'Resumo por docente'!$A$8:$B$57,2,FALSE),""))</f>
        <v/>
      </c>
      <c r="C211" s="38"/>
      <c r="D211" s="57"/>
      <c r="E211" s="38"/>
      <c r="F211" s="52"/>
      <c r="G211" s="38"/>
      <c r="H211" s="38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48" t="str">
        <f>IF($A211="","",IF(OR($C211="",$D211="",$E211="",$F211=""),"INCOMPLETO",IF(OR($D211&lt;2021,$D211&gt;2026),"ANO FORA DA JANELA",IF(OR(LOWER($U211)&lt;&gt;"sim",LOWER($V211)&lt;&gt;"sim",$G211="",$H211="",$J211="",$K211="",$M211="",$N211="",$Q211="",$R211="",$S211=""),"INCOMPLETO",IF(LEFT($C211,3)="PTT",IF(COUNTIF('Estratos e PTTs'!$B$15:$B$30,$E211)=0,"TIPO PTT INVÁLIDO","OK"),"OK")))))</f>
        <v/>
      </c>
      <c r="X211" s="52"/>
    </row>
    <row r="212" ht="15.75" customHeight="1">
      <c r="A212" s="52"/>
      <c r="B212" s="28" t="str">
        <f>IF($A212="","",IFERROR(VLOOKUP($A212,'Resumo por docente'!$A$8:$B$57,2,FALSE),""))</f>
        <v/>
      </c>
      <c r="C212" s="38"/>
      <c r="D212" s="57"/>
      <c r="E212" s="38"/>
      <c r="F212" s="52"/>
      <c r="G212" s="38"/>
      <c r="H212" s="38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48" t="str">
        <f>IF($A212="","",IF(OR($C212="",$D212="",$E212="",$F212=""),"INCOMPLETO",IF(OR($D212&lt;2021,$D212&gt;2026),"ANO FORA DA JANELA",IF(OR(LOWER($U212)&lt;&gt;"sim",LOWER($V212)&lt;&gt;"sim",$G212="",$H212="",$J212="",$K212="",$M212="",$N212="",$Q212="",$R212="",$S212=""),"INCOMPLETO",IF(LEFT($C212,3)="PTT",IF(COUNTIF('Estratos e PTTs'!$B$15:$B$30,$E212)=0,"TIPO PTT INVÁLIDO","OK"),"OK")))))</f>
        <v/>
      </c>
      <c r="X212" s="52"/>
    </row>
    <row r="213" ht="15.75" customHeight="1">
      <c r="A213" s="52"/>
      <c r="B213" s="28" t="str">
        <f>IF($A213="","",IFERROR(VLOOKUP($A213,'Resumo por docente'!$A$8:$B$57,2,FALSE),""))</f>
        <v/>
      </c>
      <c r="C213" s="38"/>
      <c r="D213" s="57"/>
      <c r="E213" s="38"/>
      <c r="F213" s="52"/>
      <c r="G213" s="38"/>
      <c r="H213" s="38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48" t="str">
        <f>IF($A213="","",IF(OR($C213="",$D213="",$E213="",$F213=""),"INCOMPLETO",IF(OR($D213&lt;2021,$D213&gt;2026),"ANO FORA DA JANELA",IF(OR(LOWER($U213)&lt;&gt;"sim",LOWER($V213)&lt;&gt;"sim",$G213="",$H213="",$J213="",$K213="",$M213="",$N213="",$Q213="",$R213="",$S213=""),"INCOMPLETO",IF(LEFT($C213,3)="PTT",IF(COUNTIF('Estratos e PTTs'!$B$15:$B$30,$E213)=0,"TIPO PTT INVÁLIDO","OK"),"OK")))))</f>
        <v/>
      </c>
      <c r="X213" s="52"/>
    </row>
    <row r="214" ht="15.75" customHeight="1">
      <c r="A214" s="52"/>
      <c r="B214" s="28" t="str">
        <f>IF($A214="","",IFERROR(VLOOKUP($A214,'Resumo por docente'!$A$8:$B$57,2,FALSE),""))</f>
        <v/>
      </c>
      <c r="C214" s="38"/>
      <c r="D214" s="57"/>
      <c r="E214" s="38"/>
      <c r="F214" s="52"/>
      <c r="G214" s="38"/>
      <c r="H214" s="38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48" t="str">
        <f>IF($A214="","",IF(OR($C214="",$D214="",$E214="",$F214=""),"INCOMPLETO",IF(OR($D214&lt;2021,$D214&gt;2026),"ANO FORA DA JANELA",IF(OR(LOWER($U214)&lt;&gt;"sim",LOWER($V214)&lt;&gt;"sim",$G214="",$H214="",$J214="",$K214="",$M214="",$N214="",$Q214="",$R214="",$S214=""),"INCOMPLETO",IF(LEFT($C214,3)="PTT",IF(COUNTIF('Estratos e PTTs'!$B$15:$B$30,$E214)=0,"TIPO PTT INVÁLIDO","OK"),"OK")))))</f>
        <v/>
      </c>
      <c r="X214" s="52"/>
    </row>
    <row r="215" ht="15.75" customHeight="1">
      <c r="A215" s="52"/>
      <c r="B215" s="28" t="str">
        <f>IF($A215="","",IFERROR(VLOOKUP($A215,'Resumo por docente'!$A$8:$B$57,2,FALSE),""))</f>
        <v/>
      </c>
      <c r="C215" s="38"/>
      <c r="D215" s="57"/>
      <c r="E215" s="38"/>
      <c r="F215" s="52"/>
      <c r="G215" s="38"/>
      <c r="H215" s="38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48" t="str">
        <f>IF($A215="","",IF(OR($C215="",$D215="",$E215="",$F215=""),"INCOMPLETO",IF(OR($D215&lt;2021,$D215&gt;2026),"ANO FORA DA JANELA",IF(OR(LOWER($U215)&lt;&gt;"sim",LOWER($V215)&lt;&gt;"sim",$G215="",$H215="",$J215="",$K215="",$M215="",$N215="",$Q215="",$R215="",$S215=""),"INCOMPLETO",IF(LEFT($C215,3)="PTT",IF(COUNTIF('Estratos e PTTs'!$B$15:$B$30,$E215)=0,"TIPO PTT INVÁLIDO","OK"),"OK")))))</f>
        <v/>
      </c>
      <c r="X215" s="52"/>
    </row>
    <row r="216" ht="15.75" customHeight="1">
      <c r="A216" s="52"/>
      <c r="B216" s="28" t="str">
        <f>IF($A216="","",IFERROR(VLOOKUP($A216,'Resumo por docente'!$A$8:$B$57,2,FALSE),""))</f>
        <v/>
      </c>
      <c r="C216" s="38"/>
      <c r="D216" s="57"/>
      <c r="E216" s="38"/>
      <c r="F216" s="52"/>
      <c r="G216" s="38"/>
      <c r="H216" s="38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48" t="str">
        <f>IF($A216="","",IF(OR($C216="",$D216="",$E216="",$F216=""),"INCOMPLETO",IF(OR($D216&lt;2021,$D216&gt;2026),"ANO FORA DA JANELA",IF(OR(LOWER($U216)&lt;&gt;"sim",LOWER($V216)&lt;&gt;"sim",$G216="",$H216="",$J216="",$K216="",$M216="",$N216="",$Q216="",$R216="",$S216=""),"INCOMPLETO",IF(LEFT($C216,3)="PTT",IF(COUNTIF('Estratos e PTTs'!$B$15:$B$30,$E216)=0,"TIPO PTT INVÁLIDO","OK"),"OK")))))</f>
        <v/>
      </c>
      <c r="X216" s="52"/>
    </row>
    <row r="217" ht="15.75" customHeight="1">
      <c r="A217" s="52"/>
      <c r="B217" s="28" t="str">
        <f>IF($A217="","",IFERROR(VLOOKUP($A217,'Resumo por docente'!$A$8:$B$57,2,FALSE),""))</f>
        <v/>
      </c>
      <c r="C217" s="38"/>
      <c r="D217" s="57"/>
      <c r="E217" s="38"/>
      <c r="F217" s="52"/>
      <c r="G217" s="38"/>
      <c r="H217" s="38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48" t="str">
        <f>IF($A217="","",IF(OR($C217="",$D217="",$E217="",$F217=""),"INCOMPLETO",IF(OR($D217&lt;2021,$D217&gt;2026),"ANO FORA DA JANELA",IF(OR(LOWER($U217)&lt;&gt;"sim",LOWER($V217)&lt;&gt;"sim",$G217="",$H217="",$J217="",$K217="",$M217="",$N217="",$Q217="",$R217="",$S217=""),"INCOMPLETO",IF(LEFT($C217,3)="PTT",IF(COUNTIF('Estratos e PTTs'!$B$15:$B$30,$E217)=0,"TIPO PTT INVÁLIDO","OK"),"OK")))))</f>
        <v/>
      </c>
      <c r="X217" s="52"/>
    </row>
    <row r="218" ht="15.75" customHeight="1">
      <c r="A218" s="52"/>
      <c r="B218" s="28" t="str">
        <f>IF($A218="","",IFERROR(VLOOKUP($A218,'Resumo por docente'!$A$8:$B$57,2,FALSE),""))</f>
        <v/>
      </c>
      <c r="C218" s="38"/>
      <c r="D218" s="57"/>
      <c r="E218" s="38"/>
      <c r="F218" s="52"/>
      <c r="G218" s="38"/>
      <c r="H218" s="38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48" t="str">
        <f>IF($A218="","",IF(OR($C218="",$D218="",$E218="",$F218=""),"INCOMPLETO",IF(OR($D218&lt;2021,$D218&gt;2026),"ANO FORA DA JANELA",IF(OR(LOWER($U218)&lt;&gt;"sim",LOWER($V218)&lt;&gt;"sim",$G218="",$H218="",$J218="",$K218="",$M218="",$N218="",$Q218="",$R218="",$S218=""),"INCOMPLETO",IF(LEFT($C218,3)="PTT",IF(COUNTIF('Estratos e PTTs'!$B$15:$B$30,$E218)=0,"TIPO PTT INVÁLIDO","OK"),"OK")))))</f>
        <v/>
      </c>
      <c r="X218" s="52"/>
    </row>
    <row r="219" ht="15.75" customHeight="1">
      <c r="A219" s="52"/>
      <c r="B219" s="28" t="str">
        <f>IF($A219="","",IFERROR(VLOOKUP($A219,'Resumo por docente'!$A$8:$B$57,2,FALSE),""))</f>
        <v/>
      </c>
      <c r="C219" s="38"/>
      <c r="D219" s="57"/>
      <c r="E219" s="38"/>
      <c r="F219" s="52"/>
      <c r="G219" s="38"/>
      <c r="H219" s="38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48" t="str">
        <f>IF($A219="","",IF(OR($C219="",$D219="",$E219="",$F219=""),"INCOMPLETO",IF(OR($D219&lt;2021,$D219&gt;2026),"ANO FORA DA JANELA",IF(OR(LOWER($U219)&lt;&gt;"sim",LOWER($V219)&lt;&gt;"sim",$G219="",$H219="",$J219="",$K219="",$M219="",$N219="",$Q219="",$R219="",$S219=""),"INCOMPLETO",IF(LEFT($C219,3)="PTT",IF(COUNTIF('Estratos e PTTs'!$B$15:$B$30,$E219)=0,"TIPO PTT INVÁLIDO","OK"),"OK")))))</f>
        <v/>
      </c>
      <c r="X219" s="52"/>
    </row>
    <row r="220" ht="15.75" customHeight="1">
      <c r="A220" s="52"/>
      <c r="B220" s="28" t="str">
        <f>IF($A220="","",IFERROR(VLOOKUP($A220,'Resumo por docente'!$A$8:$B$57,2,FALSE),""))</f>
        <v/>
      </c>
      <c r="C220" s="38"/>
      <c r="D220" s="57"/>
      <c r="E220" s="38"/>
      <c r="F220" s="52"/>
      <c r="G220" s="38"/>
      <c r="H220" s="38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48" t="str">
        <f>IF($A220="","",IF(OR($C220="",$D220="",$E220="",$F220=""),"INCOMPLETO",IF(OR($D220&lt;2021,$D220&gt;2026),"ANO FORA DA JANELA",IF(OR(LOWER($U220)&lt;&gt;"sim",LOWER($V220)&lt;&gt;"sim",$G220="",$H220="",$J220="",$K220="",$M220="",$N220="",$Q220="",$R220="",$S220=""),"INCOMPLETO",IF(LEFT($C220,3)="PTT",IF(COUNTIF('Estratos e PTTs'!$B$15:$B$30,$E220)=0,"TIPO PTT INVÁLIDO","OK"),"OK")))))</f>
        <v/>
      </c>
      <c r="X220" s="52"/>
    </row>
    <row r="221" ht="15.75" customHeight="1">
      <c r="A221" s="52"/>
      <c r="B221" s="28" t="str">
        <f>IF($A221="","",IFERROR(VLOOKUP($A221,'Resumo por docente'!$A$8:$B$57,2,FALSE),""))</f>
        <v/>
      </c>
      <c r="C221" s="38"/>
      <c r="D221" s="57"/>
      <c r="E221" s="38"/>
      <c r="F221" s="52"/>
      <c r="G221" s="38"/>
      <c r="H221" s="38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48" t="str">
        <f>IF($A221="","",IF(OR($C221="",$D221="",$E221="",$F221=""),"INCOMPLETO",IF(OR($D221&lt;2021,$D221&gt;2026),"ANO FORA DA JANELA",IF(OR(LOWER($U221)&lt;&gt;"sim",LOWER($V221)&lt;&gt;"sim",$G221="",$H221="",$J221="",$K221="",$M221="",$N221="",$Q221="",$R221="",$S221=""),"INCOMPLETO",IF(LEFT($C221,3)="PTT",IF(COUNTIF('Estratos e PTTs'!$B$15:$B$30,$E221)=0,"TIPO PTT INVÁLIDO","OK"),"OK")))))</f>
        <v/>
      </c>
      <c r="X221" s="52"/>
    </row>
    <row r="222" ht="15.75" customHeight="1">
      <c r="A222" s="52"/>
      <c r="B222" s="28" t="str">
        <f>IF($A222="","",IFERROR(VLOOKUP($A222,'Resumo por docente'!$A$8:$B$57,2,FALSE),""))</f>
        <v/>
      </c>
      <c r="C222" s="38"/>
      <c r="D222" s="57"/>
      <c r="E222" s="38"/>
      <c r="F222" s="52"/>
      <c r="G222" s="38"/>
      <c r="H222" s="38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48" t="str">
        <f>IF($A222="","",IF(OR($C222="",$D222="",$E222="",$F222=""),"INCOMPLETO",IF(OR($D222&lt;2021,$D222&gt;2026),"ANO FORA DA JANELA",IF(OR(LOWER($U222)&lt;&gt;"sim",LOWER($V222)&lt;&gt;"sim",$G222="",$H222="",$J222="",$K222="",$M222="",$N222="",$Q222="",$R222="",$S222=""),"INCOMPLETO",IF(LEFT($C222,3)="PTT",IF(COUNTIF('Estratos e PTTs'!$B$15:$B$30,$E222)=0,"TIPO PTT INVÁLIDO","OK"),"OK")))))</f>
        <v/>
      </c>
      <c r="X222" s="52"/>
    </row>
    <row r="223" ht="15.75" customHeight="1">
      <c r="A223" s="52"/>
      <c r="B223" s="28" t="str">
        <f>IF($A223="","",IFERROR(VLOOKUP($A223,'Resumo por docente'!$A$8:$B$57,2,FALSE),""))</f>
        <v/>
      </c>
      <c r="C223" s="38"/>
      <c r="D223" s="57"/>
      <c r="E223" s="38"/>
      <c r="F223" s="52"/>
      <c r="G223" s="38"/>
      <c r="H223" s="38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48" t="str">
        <f>IF($A223="","",IF(OR($C223="",$D223="",$E223="",$F223=""),"INCOMPLETO",IF(OR($D223&lt;2021,$D223&gt;2026),"ANO FORA DA JANELA",IF(OR(LOWER($U223)&lt;&gt;"sim",LOWER($V223)&lt;&gt;"sim",$G223="",$H223="",$J223="",$K223="",$M223="",$N223="",$Q223="",$R223="",$S223=""),"INCOMPLETO",IF(LEFT($C223,3)="PTT",IF(COUNTIF('Estratos e PTTs'!$B$15:$B$30,$E223)=0,"TIPO PTT INVÁLIDO","OK"),"OK")))))</f>
        <v/>
      </c>
      <c r="X223" s="52"/>
    </row>
    <row r="224" ht="15.75" customHeight="1">
      <c r="A224" s="52"/>
      <c r="B224" s="28" t="str">
        <f>IF($A224="","",IFERROR(VLOOKUP($A224,'Resumo por docente'!$A$8:$B$57,2,FALSE),""))</f>
        <v/>
      </c>
      <c r="C224" s="38"/>
      <c r="D224" s="57"/>
      <c r="E224" s="38"/>
      <c r="F224" s="52"/>
      <c r="G224" s="38"/>
      <c r="H224" s="38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48" t="str">
        <f>IF($A224="","",IF(OR($C224="",$D224="",$E224="",$F224=""),"INCOMPLETO",IF(OR($D224&lt;2021,$D224&gt;2026),"ANO FORA DA JANELA",IF(OR(LOWER($U224)&lt;&gt;"sim",LOWER($V224)&lt;&gt;"sim",$G224="",$H224="",$J224="",$K224="",$M224="",$N224="",$Q224="",$R224="",$S224=""),"INCOMPLETO",IF(LEFT($C224,3)="PTT",IF(COUNTIF('Estratos e PTTs'!$B$15:$B$30,$E224)=0,"TIPO PTT INVÁLIDO","OK"),"OK")))))</f>
        <v/>
      </c>
      <c r="X224" s="52"/>
    </row>
    <row r="225" ht="15.75" customHeight="1">
      <c r="A225" s="52"/>
      <c r="B225" s="28" t="str">
        <f>IF($A225="","",IFERROR(VLOOKUP($A225,'Resumo por docente'!$A$8:$B$57,2,FALSE),""))</f>
        <v/>
      </c>
      <c r="C225" s="38"/>
      <c r="D225" s="57"/>
      <c r="E225" s="38"/>
      <c r="F225" s="52"/>
      <c r="G225" s="38"/>
      <c r="H225" s="38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48" t="str">
        <f>IF($A225="","",IF(OR($C225="",$D225="",$E225="",$F225=""),"INCOMPLETO",IF(OR($D225&lt;2021,$D225&gt;2026),"ANO FORA DA JANELA",IF(OR(LOWER($U225)&lt;&gt;"sim",LOWER($V225)&lt;&gt;"sim",$G225="",$H225="",$J225="",$K225="",$M225="",$N225="",$Q225="",$R225="",$S225=""),"INCOMPLETO",IF(LEFT($C225,3)="PTT",IF(COUNTIF('Estratos e PTTs'!$B$15:$B$30,$E225)=0,"TIPO PTT INVÁLIDO","OK"),"OK")))))</f>
        <v/>
      </c>
      <c r="X225" s="52"/>
    </row>
    <row r="226" ht="15.75" customHeight="1">
      <c r="A226" s="52"/>
      <c r="B226" s="28" t="str">
        <f>IF($A226="","",IFERROR(VLOOKUP($A226,'Resumo por docente'!$A$8:$B$57,2,FALSE),""))</f>
        <v/>
      </c>
      <c r="C226" s="38"/>
      <c r="D226" s="57"/>
      <c r="E226" s="38"/>
      <c r="F226" s="52"/>
      <c r="G226" s="38"/>
      <c r="H226" s="38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48" t="str">
        <f>IF($A226="","",IF(OR($C226="",$D226="",$E226="",$F226=""),"INCOMPLETO",IF(OR($D226&lt;2021,$D226&gt;2026),"ANO FORA DA JANELA",IF(OR(LOWER($U226)&lt;&gt;"sim",LOWER($V226)&lt;&gt;"sim",$G226="",$H226="",$J226="",$K226="",$M226="",$N226="",$Q226="",$R226="",$S226=""),"INCOMPLETO",IF(LEFT($C226,3)="PTT",IF(COUNTIF('Estratos e PTTs'!$B$15:$B$30,$E226)=0,"TIPO PTT INVÁLIDO","OK"),"OK")))))</f>
        <v/>
      </c>
      <c r="X226" s="52"/>
    </row>
    <row r="227" ht="15.75" customHeight="1">
      <c r="A227" s="52"/>
      <c r="B227" s="28" t="str">
        <f>IF($A227="","",IFERROR(VLOOKUP($A227,'Resumo por docente'!$A$8:$B$57,2,FALSE),""))</f>
        <v/>
      </c>
      <c r="C227" s="38"/>
      <c r="D227" s="57"/>
      <c r="E227" s="38"/>
      <c r="F227" s="52"/>
      <c r="G227" s="38"/>
      <c r="H227" s="38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48" t="str">
        <f>IF($A227="","",IF(OR($C227="",$D227="",$E227="",$F227=""),"INCOMPLETO",IF(OR($D227&lt;2021,$D227&gt;2026),"ANO FORA DA JANELA",IF(OR(LOWER($U227)&lt;&gt;"sim",LOWER($V227)&lt;&gt;"sim",$G227="",$H227="",$J227="",$K227="",$M227="",$N227="",$Q227="",$R227="",$S227=""),"INCOMPLETO",IF(LEFT($C227,3)="PTT",IF(COUNTIF('Estratos e PTTs'!$B$15:$B$30,$E227)=0,"TIPO PTT INVÁLIDO","OK"),"OK")))))</f>
        <v/>
      </c>
      <c r="X227" s="52"/>
    </row>
    <row r="228" ht="15.75" customHeight="1">
      <c r="A228" s="52"/>
      <c r="B228" s="28" t="str">
        <f>IF($A228="","",IFERROR(VLOOKUP($A228,'Resumo por docente'!$A$8:$B$57,2,FALSE),""))</f>
        <v/>
      </c>
      <c r="C228" s="38"/>
      <c r="D228" s="57"/>
      <c r="E228" s="38"/>
      <c r="F228" s="52"/>
      <c r="G228" s="38"/>
      <c r="H228" s="38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48" t="str">
        <f>IF($A228="","",IF(OR($C228="",$D228="",$E228="",$F228=""),"INCOMPLETO",IF(OR($D228&lt;2021,$D228&gt;2026),"ANO FORA DA JANELA",IF(OR(LOWER($U228)&lt;&gt;"sim",LOWER($V228)&lt;&gt;"sim",$G228="",$H228="",$J228="",$K228="",$M228="",$N228="",$Q228="",$R228="",$S228=""),"INCOMPLETO",IF(LEFT($C228,3)="PTT",IF(COUNTIF('Estratos e PTTs'!$B$15:$B$30,$E228)=0,"TIPO PTT INVÁLIDO","OK"),"OK")))))</f>
        <v/>
      </c>
      <c r="X228" s="52"/>
    </row>
    <row r="229" ht="15.75" customHeight="1">
      <c r="A229" s="52"/>
      <c r="B229" s="28" t="str">
        <f>IF($A229="","",IFERROR(VLOOKUP($A229,'Resumo por docente'!$A$8:$B$57,2,FALSE),""))</f>
        <v/>
      </c>
      <c r="C229" s="38"/>
      <c r="D229" s="57"/>
      <c r="E229" s="38"/>
      <c r="F229" s="52"/>
      <c r="G229" s="38"/>
      <c r="H229" s="38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48" t="str">
        <f>IF($A229="","",IF(OR($C229="",$D229="",$E229="",$F229=""),"INCOMPLETO",IF(OR($D229&lt;2021,$D229&gt;2026),"ANO FORA DA JANELA",IF(OR(LOWER($U229)&lt;&gt;"sim",LOWER($V229)&lt;&gt;"sim",$G229="",$H229="",$J229="",$K229="",$M229="",$N229="",$Q229="",$R229="",$S229=""),"INCOMPLETO",IF(LEFT($C229,3)="PTT",IF(COUNTIF('Estratos e PTTs'!$B$15:$B$30,$E229)=0,"TIPO PTT INVÁLIDO","OK"),"OK")))))</f>
        <v/>
      </c>
      <c r="X229" s="52"/>
    </row>
    <row r="230" ht="15.75" customHeight="1">
      <c r="A230" s="52"/>
      <c r="B230" s="28" t="str">
        <f>IF($A230="","",IFERROR(VLOOKUP($A230,'Resumo por docente'!$A$8:$B$57,2,FALSE),""))</f>
        <v/>
      </c>
      <c r="C230" s="38"/>
      <c r="D230" s="57"/>
      <c r="E230" s="38"/>
      <c r="F230" s="52"/>
      <c r="G230" s="38"/>
      <c r="H230" s="38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48" t="str">
        <f>IF($A230="","",IF(OR($C230="",$D230="",$E230="",$F230=""),"INCOMPLETO",IF(OR($D230&lt;2021,$D230&gt;2026),"ANO FORA DA JANELA",IF(OR(LOWER($U230)&lt;&gt;"sim",LOWER($V230)&lt;&gt;"sim",$G230="",$H230="",$J230="",$K230="",$M230="",$N230="",$Q230="",$R230="",$S230=""),"INCOMPLETO",IF(LEFT($C230,3)="PTT",IF(COUNTIF('Estratos e PTTs'!$B$15:$B$30,$E230)=0,"TIPO PTT INVÁLIDO","OK"),"OK")))))</f>
        <v/>
      </c>
      <c r="X230" s="52"/>
    </row>
    <row r="231" ht="15.75" customHeight="1">
      <c r="A231" s="52"/>
      <c r="B231" s="28" t="str">
        <f>IF($A231="","",IFERROR(VLOOKUP($A231,'Resumo por docente'!$A$8:$B$57,2,FALSE),""))</f>
        <v/>
      </c>
      <c r="C231" s="38"/>
      <c r="D231" s="57"/>
      <c r="E231" s="38"/>
      <c r="F231" s="52"/>
      <c r="G231" s="38"/>
      <c r="H231" s="38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48" t="str">
        <f>IF($A231="","",IF(OR($C231="",$D231="",$E231="",$F231=""),"INCOMPLETO",IF(OR($D231&lt;2021,$D231&gt;2026),"ANO FORA DA JANELA",IF(OR(LOWER($U231)&lt;&gt;"sim",LOWER($V231)&lt;&gt;"sim",$G231="",$H231="",$J231="",$K231="",$M231="",$N231="",$Q231="",$R231="",$S231=""),"INCOMPLETO",IF(LEFT($C231,3)="PTT",IF(COUNTIF('Estratos e PTTs'!$B$15:$B$30,$E231)=0,"TIPO PTT INVÁLIDO","OK"),"OK")))))</f>
        <v/>
      </c>
      <c r="X231" s="52"/>
    </row>
    <row r="232" ht="15.75" customHeight="1">
      <c r="A232" s="52"/>
      <c r="B232" s="28" t="str">
        <f>IF($A232="","",IFERROR(VLOOKUP($A232,'Resumo por docente'!$A$8:$B$57,2,FALSE),""))</f>
        <v/>
      </c>
      <c r="C232" s="38"/>
      <c r="D232" s="57"/>
      <c r="E232" s="38"/>
      <c r="F232" s="52"/>
      <c r="G232" s="38"/>
      <c r="H232" s="38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48" t="str">
        <f>IF($A232="","",IF(OR($C232="",$D232="",$E232="",$F232=""),"INCOMPLETO",IF(OR($D232&lt;2021,$D232&gt;2026),"ANO FORA DA JANELA",IF(OR(LOWER($U232)&lt;&gt;"sim",LOWER($V232)&lt;&gt;"sim",$G232="",$H232="",$J232="",$K232="",$M232="",$N232="",$Q232="",$R232="",$S232=""),"INCOMPLETO",IF(LEFT($C232,3)="PTT",IF(COUNTIF('Estratos e PTTs'!$B$15:$B$30,$E232)=0,"TIPO PTT INVÁLIDO","OK"),"OK")))))</f>
        <v/>
      </c>
      <c r="X232" s="52"/>
    </row>
    <row r="233" ht="15.75" customHeight="1">
      <c r="A233" s="52"/>
      <c r="B233" s="28" t="str">
        <f>IF($A233="","",IFERROR(VLOOKUP($A233,'Resumo por docente'!$A$8:$B$57,2,FALSE),""))</f>
        <v/>
      </c>
      <c r="C233" s="38"/>
      <c r="D233" s="57"/>
      <c r="E233" s="38"/>
      <c r="F233" s="52"/>
      <c r="G233" s="38"/>
      <c r="H233" s="38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48" t="str">
        <f>IF($A233="","",IF(OR($C233="",$D233="",$E233="",$F233=""),"INCOMPLETO",IF(OR($D233&lt;2021,$D233&gt;2026),"ANO FORA DA JANELA",IF(OR(LOWER($U233)&lt;&gt;"sim",LOWER($V233)&lt;&gt;"sim",$G233="",$H233="",$J233="",$K233="",$M233="",$N233="",$Q233="",$R233="",$S233=""),"INCOMPLETO",IF(LEFT($C233,3)="PTT",IF(COUNTIF('Estratos e PTTs'!$B$15:$B$30,$E233)=0,"TIPO PTT INVÁLIDO","OK"),"OK")))))</f>
        <v/>
      </c>
      <c r="X233" s="52"/>
    </row>
    <row r="234" ht="15.75" customHeight="1">
      <c r="A234" s="52"/>
      <c r="B234" s="28" t="str">
        <f>IF($A234="","",IFERROR(VLOOKUP($A234,'Resumo por docente'!$A$8:$B$57,2,FALSE),""))</f>
        <v/>
      </c>
      <c r="C234" s="38"/>
      <c r="D234" s="57"/>
      <c r="E234" s="38"/>
      <c r="F234" s="52"/>
      <c r="G234" s="38"/>
      <c r="H234" s="38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48" t="str">
        <f>IF($A234="","",IF(OR($C234="",$D234="",$E234="",$F234=""),"INCOMPLETO",IF(OR($D234&lt;2021,$D234&gt;2026),"ANO FORA DA JANELA",IF(OR(LOWER($U234)&lt;&gt;"sim",LOWER($V234)&lt;&gt;"sim",$G234="",$H234="",$J234="",$K234="",$M234="",$N234="",$Q234="",$R234="",$S234=""),"INCOMPLETO",IF(LEFT($C234,3)="PTT",IF(COUNTIF('Estratos e PTTs'!$B$15:$B$30,$E234)=0,"TIPO PTT INVÁLIDO","OK"),"OK")))))</f>
        <v/>
      </c>
      <c r="X234" s="52"/>
    </row>
    <row r="235" ht="15.75" customHeight="1">
      <c r="A235" s="52"/>
      <c r="B235" s="28" t="str">
        <f>IF($A235="","",IFERROR(VLOOKUP($A235,'Resumo por docente'!$A$8:$B$57,2,FALSE),""))</f>
        <v/>
      </c>
      <c r="C235" s="38"/>
      <c r="D235" s="57"/>
      <c r="E235" s="38"/>
      <c r="F235" s="52"/>
      <c r="G235" s="38"/>
      <c r="H235" s="38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48" t="str">
        <f>IF($A235="","",IF(OR($C235="",$D235="",$E235="",$F235=""),"INCOMPLETO",IF(OR($D235&lt;2021,$D235&gt;2026),"ANO FORA DA JANELA",IF(OR(LOWER($U235)&lt;&gt;"sim",LOWER($V235)&lt;&gt;"sim",$G235="",$H235="",$J235="",$K235="",$M235="",$N235="",$Q235="",$R235="",$S235=""),"INCOMPLETO",IF(LEFT($C235,3)="PTT",IF(COUNTIF('Estratos e PTTs'!$B$15:$B$30,$E235)=0,"TIPO PTT INVÁLIDO","OK"),"OK")))))</f>
        <v/>
      </c>
      <c r="X235" s="52"/>
    </row>
    <row r="236" ht="15.75" customHeight="1">
      <c r="A236" s="52"/>
      <c r="B236" s="28" t="str">
        <f>IF($A236="","",IFERROR(VLOOKUP($A236,'Resumo por docente'!$A$8:$B$57,2,FALSE),""))</f>
        <v/>
      </c>
      <c r="C236" s="38"/>
      <c r="D236" s="57"/>
      <c r="E236" s="38"/>
      <c r="F236" s="52"/>
      <c r="G236" s="38"/>
      <c r="H236" s="38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48" t="str">
        <f>IF($A236="","",IF(OR($C236="",$D236="",$E236="",$F236=""),"INCOMPLETO",IF(OR($D236&lt;2021,$D236&gt;2026),"ANO FORA DA JANELA",IF(OR(LOWER($U236)&lt;&gt;"sim",LOWER($V236)&lt;&gt;"sim",$G236="",$H236="",$J236="",$K236="",$M236="",$N236="",$Q236="",$R236="",$S236=""),"INCOMPLETO",IF(LEFT($C236,3)="PTT",IF(COUNTIF('Estratos e PTTs'!$B$15:$B$30,$E236)=0,"TIPO PTT INVÁLIDO","OK"),"OK")))))</f>
        <v/>
      </c>
      <c r="X236" s="52"/>
    </row>
    <row r="237" ht="15.75" customHeight="1">
      <c r="A237" s="52"/>
      <c r="B237" s="28" t="str">
        <f>IF($A237="","",IFERROR(VLOOKUP($A237,'Resumo por docente'!$A$8:$B$57,2,FALSE),""))</f>
        <v/>
      </c>
      <c r="C237" s="38"/>
      <c r="D237" s="57"/>
      <c r="E237" s="38"/>
      <c r="F237" s="52"/>
      <c r="G237" s="38"/>
      <c r="H237" s="38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48" t="str">
        <f>IF($A237="","",IF(OR($C237="",$D237="",$E237="",$F237=""),"INCOMPLETO",IF(OR($D237&lt;2021,$D237&gt;2026),"ANO FORA DA JANELA",IF(OR(LOWER($U237)&lt;&gt;"sim",LOWER($V237)&lt;&gt;"sim",$G237="",$H237="",$J237="",$K237="",$M237="",$N237="",$Q237="",$R237="",$S237=""),"INCOMPLETO",IF(LEFT($C237,3)="PTT",IF(COUNTIF('Estratos e PTTs'!$B$15:$B$30,$E237)=0,"TIPO PTT INVÁLIDO","OK"),"OK")))))</f>
        <v/>
      </c>
      <c r="X237" s="52"/>
    </row>
    <row r="238" ht="15.75" customHeight="1">
      <c r="A238" s="52"/>
      <c r="B238" s="28" t="str">
        <f>IF($A238="","",IFERROR(VLOOKUP($A238,'Resumo por docente'!$A$8:$B$57,2,FALSE),""))</f>
        <v/>
      </c>
      <c r="C238" s="38"/>
      <c r="D238" s="57"/>
      <c r="E238" s="38"/>
      <c r="F238" s="52"/>
      <c r="G238" s="38"/>
      <c r="H238" s="38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48" t="str">
        <f>IF($A238="","",IF(OR($C238="",$D238="",$E238="",$F238=""),"INCOMPLETO",IF(OR($D238&lt;2021,$D238&gt;2026),"ANO FORA DA JANELA",IF(OR(LOWER($U238)&lt;&gt;"sim",LOWER($V238)&lt;&gt;"sim",$G238="",$H238="",$J238="",$K238="",$M238="",$N238="",$Q238="",$R238="",$S238=""),"INCOMPLETO",IF(LEFT($C238,3)="PTT",IF(COUNTIF('Estratos e PTTs'!$B$15:$B$30,$E238)=0,"TIPO PTT INVÁLIDO","OK"),"OK")))))</f>
        <v/>
      </c>
      <c r="X238" s="52"/>
    </row>
    <row r="239" ht="15.75" customHeight="1">
      <c r="A239" s="52"/>
      <c r="B239" s="28" t="str">
        <f>IF($A239="","",IFERROR(VLOOKUP($A239,'Resumo por docente'!$A$8:$B$57,2,FALSE),""))</f>
        <v/>
      </c>
      <c r="C239" s="38"/>
      <c r="D239" s="57"/>
      <c r="E239" s="38"/>
      <c r="F239" s="52"/>
      <c r="G239" s="38"/>
      <c r="H239" s="38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48" t="str">
        <f>IF($A239="","",IF(OR($C239="",$D239="",$E239="",$F239=""),"INCOMPLETO",IF(OR($D239&lt;2021,$D239&gt;2026),"ANO FORA DA JANELA",IF(OR(LOWER($U239)&lt;&gt;"sim",LOWER($V239)&lt;&gt;"sim",$G239="",$H239="",$J239="",$K239="",$M239="",$N239="",$Q239="",$R239="",$S239=""),"INCOMPLETO",IF(LEFT($C239,3)="PTT",IF(COUNTIF('Estratos e PTTs'!$B$15:$B$30,$E239)=0,"TIPO PTT INVÁLIDO","OK"),"OK")))))</f>
        <v/>
      </c>
      <c r="X239" s="52"/>
    </row>
    <row r="240" ht="15.75" customHeight="1">
      <c r="A240" s="52"/>
      <c r="B240" s="28" t="str">
        <f>IF($A240="","",IFERROR(VLOOKUP($A240,'Resumo por docente'!$A$8:$B$57,2,FALSE),""))</f>
        <v/>
      </c>
      <c r="C240" s="38"/>
      <c r="D240" s="57"/>
      <c r="E240" s="38"/>
      <c r="F240" s="52"/>
      <c r="G240" s="38"/>
      <c r="H240" s="38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48" t="str">
        <f>IF($A240="","",IF(OR($C240="",$D240="",$E240="",$F240=""),"INCOMPLETO",IF(OR($D240&lt;2021,$D240&gt;2026),"ANO FORA DA JANELA",IF(OR(LOWER($U240)&lt;&gt;"sim",LOWER($V240)&lt;&gt;"sim",$G240="",$H240="",$J240="",$K240="",$M240="",$N240="",$Q240="",$R240="",$S240=""),"INCOMPLETO",IF(LEFT($C240,3)="PTT",IF(COUNTIF('Estratos e PTTs'!$B$15:$B$30,$E240)=0,"TIPO PTT INVÁLIDO","OK"),"OK")))))</f>
        <v/>
      </c>
      <c r="X240" s="52"/>
    </row>
    <row r="241" ht="15.75" customHeight="1">
      <c r="A241" s="52"/>
      <c r="B241" s="28" t="str">
        <f>IF($A241="","",IFERROR(VLOOKUP($A241,'Resumo por docente'!$A$8:$B$57,2,FALSE),""))</f>
        <v/>
      </c>
      <c r="C241" s="38"/>
      <c r="D241" s="57"/>
      <c r="E241" s="38"/>
      <c r="F241" s="52"/>
      <c r="G241" s="38"/>
      <c r="H241" s="38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48" t="str">
        <f>IF($A241="","",IF(OR($C241="",$D241="",$E241="",$F241=""),"INCOMPLETO",IF(OR($D241&lt;2021,$D241&gt;2026),"ANO FORA DA JANELA",IF(OR(LOWER($U241)&lt;&gt;"sim",LOWER($V241)&lt;&gt;"sim",$G241="",$H241="",$J241="",$K241="",$M241="",$N241="",$Q241="",$R241="",$S241=""),"INCOMPLETO",IF(LEFT($C241,3)="PTT",IF(COUNTIF('Estratos e PTTs'!$B$15:$B$30,$E241)=0,"TIPO PTT INVÁLIDO","OK"),"OK")))))</f>
        <v/>
      </c>
      <c r="X241" s="52"/>
    </row>
    <row r="242" ht="15.75" customHeight="1">
      <c r="A242" s="52"/>
      <c r="B242" s="28" t="str">
        <f>IF($A242="","",IFERROR(VLOOKUP($A242,'Resumo por docente'!$A$8:$B$57,2,FALSE),""))</f>
        <v/>
      </c>
      <c r="C242" s="38"/>
      <c r="D242" s="57"/>
      <c r="E242" s="38"/>
      <c r="F242" s="52"/>
      <c r="G242" s="38"/>
      <c r="H242" s="38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48" t="str">
        <f>IF($A242="","",IF(OR($C242="",$D242="",$E242="",$F242=""),"INCOMPLETO",IF(OR($D242&lt;2021,$D242&gt;2026),"ANO FORA DA JANELA",IF(OR(LOWER($U242)&lt;&gt;"sim",LOWER($V242)&lt;&gt;"sim",$G242="",$H242="",$J242="",$K242="",$M242="",$N242="",$Q242="",$R242="",$S242=""),"INCOMPLETO",IF(LEFT($C242,3)="PTT",IF(COUNTIF('Estratos e PTTs'!$B$15:$B$30,$E242)=0,"TIPO PTT INVÁLIDO","OK"),"OK")))))</f>
        <v/>
      </c>
      <c r="X242" s="52"/>
    </row>
    <row r="243" ht="15.75" customHeight="1">
      <c r="A243" s="52"/>
      <c r="B243" s="28" t="str">
        <f>IF($A243="","",IFERROR(VLOOKUP($A243,'Resumo por docente'!$A$8:$B$57,2,FALSE),""))</f>
        <v/>
      </c>
      <c r="C243" s="38"/>
      <c r="D243" s="57"/>
      <c r="E243" s="38"/>
      <c r="F243" s="52"/>
      <c r="G243" s="38"/>
      <c r="H243" s="38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48" t="str">
        <f>IF($A243="","",IF(OR($C243="",$D243="",$E243="",$F243=""),"INCOMPLETO",IF(OR($D243&lt;2021,$D243&gt;2026),"ANO FORA DA JANELA",IF(OR(LOWER($U243)&lt;&gt;"sim",LOWER($V243)&lt;&gt;"sim",$G243="",$H243="",$J243="",$K243="",$M243="",$N243="",$Q243="",$R243="",$S243=""),"INCOMPLETO",IF(LEFT($C243,3)="PTT",IF(COUNTIF('Estratos e PTTs'!$B$15:$B$30,$E243)=0,"TIPO PTT INVÁLIDO","OK"),"OK")))))</f>
        <v/>
      </c>
      <c r="X243" s="52"/>
    </row>
    <row r="244" ht="15.75" customHeight="1">
      <c r="A244" s="52"/>
      <c r="B244" s="28" t="str">
        <f>IF($A244="","",IFERROR(VLOOKUP($A244,'Resumo por docente'!$A$8:$B$57,2,FALSE),""))</f>
        <v/>
      </c>
      <c r="C244" s="38"/>
      <c r="D244" s="57"/>
      <c r="E244" s="38"/>
      <c r="F244" s="52"/>
      <c r="G244" s="38"/>
      <c r="H244" s="38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48" t="str">
        <f>IF($A244="","",IF(OR($C244="",$D244="",$E244="",$F244=""),"INCOMPLETO",IF(OR($D244&lt;2021,$D244&gt;2026),"ANO FORA DA JANELA",IF(OR(LOWER($U244)&lt;&gt;"sim",LOWER($V244)&lt;&gt;"sim",$G244="",$H244="",$J244="",$K244="",$M244="",$N244="",$Q244="",$R244="",$S244=""),"INCOMPLETO",IF(LEFT($C244,3)="PTT",IF(COUNTIF('Estratos e PTTs'!$B$15:$B$30,$E244)=0,"TIPO PTT INVÁLIDO","OK"),"OK")))))</f>
        <v/>
      </c>
      <c r="X244" s="52"/>
    </row>
    <row r="245" ht="15.75" customHeight="1">
      <c r="A245" s="52"/>
      <c r="B245" s="28" t="str">
        <f>IF($A245="","",IFERROR(VLOOKUP($A245,'Resumo por docente'!$A$8:$B$57,2,FALSE),""))</f>
        <v/>
      </c>
      <c r="C245" s="38"/>
      <c r="D245" s="57"/>
      <c r="E245" s="38"/>
      <c r="F245" s="52"/>
      <c r="G245" s="38"/>
      <c r="H245" s="38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48" t="str">
        <f>IF($A245="","",IF(OR($C245="",$D245="",$E245="",$F245=""),"INCOMPLETO",IF(OR($D245&lt;2021,$D245&gt;2026),"ANO FORA DA JANELA",IF(OR(LOWER($U245)&lt;&gt;"sim",LOWER($V245)&lt;&gt;"sim",$G245="",$H245="",$J245="",$K245="",$M245="",$N245="",$Q245="",$R245="",$S245=""),"INCOMPLETO",IF(LEFT($C245,3)="PTT",IF(COUNTIF('Estratos e PTTs'!$B$15:$B$30,$E245)=0,"TIPO PTT INVÁLIDO","OK"),"OK")))))</f>
        <v/>
      </c>
      <c r="X245" s="52"/>
    </row>
    <row r="246" ht="15.75" customHeight="1">
      <c r="A246" s="52"/>
      <c r="B246" s="28" t="str">
        <f>IF($A246="","",IFERROR(VLOOKUP($A246,'Resumo por docente'!$A$8:$B$57,2,FALSE),""))</f>
        <v/>
      </c>
      <c r="C246" s="38"/>
      <c r="D246" s="57"/>
      <c r="E246" s="38"/>
      <c r="F246" s="52"/>
      <c r="G246" s="38"/>
      <c r="H246" s="38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48" t="str">
        <f>IF($A246="","",IF(OR($C246="",$D246="",$E246="",$F246=""),"INCOMPLETO",IF(OR($D246&lt;2021,$D246&gt;2026),"ANO FORA DA JANELA",IF(OR(LOWER($U246)&lt;&gt;"sim",LOWER($V246)&lt;&gt;"sim",$G246="",$H246="",$J246="",$K246="",$M246="",$N246="",$Q246="",$R246="",$S246=""),"INCOMPLETO",IF(LEFT($C246,3)="PTT",IF(COUNTIF('Estratos e PTTs'!$B$15:$B$30,$E246)=0,"TIPO PTT INVÁLIDO","OK"),"OK")))))</f>
        <v/>
      </c>
      <c r="X246" s="52"/>
    </row>
    <row r="247" ht="15.75" customHeight="1">
      <c r="A247" s="52"/>
      <c r="B247" s="28" t="str">
        <f>IF($A247="","",IFERROR(VLOOKUP($A247,'Resumo por docente'!$A$8:$B$57,2,FALSE),""))</f>
        <v/>
      </c>
      <c r="C247" s="38"/>
      <c r="D247" s="57"/>
      <c r="E247" s="38"/>
      <c r="F247" s="52"/>
      <c r="G247" s="38"/>
      <c r="H247" s="38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48" t="str">
        <f>IF($A247="","",IF(OR($C247="",$D247="",$E247="",$F247=""),"INCOMPLETO",IF(OR($D247&lt;2021,$D247&gt;2026),"ANO FORA DA JANELA",IF(OR(LOWER($U247)&lt;&gt;"sim",LOWER($V247)&lt;&gt;"sim",$G247="",$H247="",$J247="",$K247="",$M247="",$N247="",$Q247="",$R247="",$S247=""),"INCOMPLETO",IF(LEFT($C247,3)="PTT",IF(COUNTIF('Estratos e PTTs'!$B$15:$B$30,$E247)=0,"TIPO PTT INVÁLIDO","OK"),"OK")))))</f>
        <v/>
      </c>
      <c r="X247" s="52"/>
    </row>
    <row r="248" ht="15.75" customHeight="1">
      <c r="A248" s="52"/>
      <c r="B248" s="28" t="str">
        <f>IF($A248="","",IFERROR(VLOOKUP($A248,'Resumo por docente'!$A$8:$B$57,2,FALSE),""))</f>
        <v/>
      </c>
      <c r="C248" s="38"/>
      <c r="D248" s="57"/>
      <c r="E248" s="38"/>
      <c r="F248" s="52"/>
      <c r="G248" s="38"/>
      <c r="H248" s="38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48" t="str">
        <f>IF($A248="","",IF(OR($C248="",$D248="",$E248="",$F248=""),"INCOMPLETO",IF(OR($D248&lt;2021,$D248&gt;2026),"ANO FORA DA JANELA",IF(OR(LOWER($U248)&lt;&gt;"sim",LOWER($V248)&lt;&gt;"sim",$G248="",$H248="",$J248="",$K248="",$M248="",$N248="",$Q248="",$R248="",$S248=""),"INCOMPLETO",IF(LEFT($C248,3)="PTT",IF(COUNTIF('Estratos e PTTs'!$B$15:$B$30,$E248)=0,"TIPO PTT INVÁLIDO","OK"),"OK")))))</f>
        <v/>
      </c>
      <c r="X248" s="52"/>
    </row>
    <row r="249" ht="15.75" customHeight="1">
      <c r="A249" s="52"/>
      <c r="B249" s="28" t="str">
        <f>IF($A249="","",IFERROR(VLOOKUP($A249,'Resumo por docente'!$A$8:$B$57,2,FALSE),""))</f>
        <v/>
      </c>
      <c r="C249" s="38"/>
      <c r="D249" s="57"/>
      <c r="E249" s="38"/>
      <c r="F249" s="52"/>
      <c r="G249" s="38"/>
      <c r="H249" s="38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48" t="str">
        <f>IF($A249="","",IF(OR($C249="",$D249="",$E249="",$F249=""),"INCOMPLETO",IF(OR($D249&lt;2021,$D249&gt;2026),"ANO FORA DA JANELA",IF(OR(LOWER($U249)&lt;&gt;"sim",LOWER($V249)&lt;&gt;"sim",$G249="",$H249="",$J249="",$K249="",$M249="",$N249="",$Q249="",$R249="",$S249=""),"INCOMPLETO",IF(LEFT($C249,3)="PTT",IF(COUNTIF('Estratos e PTTs'!$B$15:$B$30,$E249)=0,"TIPO PTT INVÁLIDO","OK"),"OK")))))</f>
        <v/>
      </c>
      <c r="X249" s="52"/>
    </row>
    <row r="250" ht="15.75" customHeight="1">
      <c r="A250" s="52"/>
      <c r="B250" s="28" t="str">
        <f>IF($A250="","",IFERROR(VLOOKUP($A250,'Resumo por docente'!$A$8:$B$57,2,FALSE),""))</f>
        <v/>
      </c>
      <c r="C250" s="38"/>
      <c r="D250" s="57"/>
      <c r="E250" s="38"/>
      <c r="F250" s="52"/>
      <c r="G250" s="38"/>
      <c r="H250" s="38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48" t="str">
        <f>IF($A250="","",IF(OR($C250="",$D250="",$E250="",$F250=""),"INCOMPLETO",IF(OR($D250&lt;2021,$D250&gt;2026),"ANO FORA DA JANELA",IF(OR(LOWER($U250)&lt;&gt;"sim",LOWER($V250)&lt;&gt;"sim",$G250="",$H250="",$J250="",$K250="",$M250="",$N250="",$Q250="",$R250="",$S250=""),"INCOMPLETO",IF(LEFT($C250,3)="PTT",IF(COUNTIF('Estratos e PTTs'!$B$15:$B$30,$E250)=0,"TIPO PTT INVÁLIDO","OK"),"OK")))))</f>
        <v/>
      </c>
      <c r="X250" s="52"/>
    </row>
    <row r="251" ht="15.75" customHeight="1">
      <c r="A251" s="52"/>
      <c r="B251" s="28" t="str">
        <f>IF($A251="","",IFERROR(VLOOKUP($A251,'Resumo por docente'!$A$8:$B$57,2,FALSE),""))</f>
        <v/>
      </c>
      <c r="C251" s="38"/>
      <c r="D251" s="57"/>
      <c r="E251" s="38"/>
      <c r="F251" s="52"/>
      <c r="G251" s="38"/>
      <c r="H251" s="38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48" t="str">
        <f>IF($A251="","",IF(OR($C251="",$D251="",$E251="",$F251=""),"INCOMPLETO",IF(OR($D251&lt;2021,$D251&gt;2026),"ANO FORA DA JANELA",IF(OR(LOWER($U251)&lt;&gt;"sim",LOWER($V251)&lt;&gt;"sim",$G251="",$H251="",$J251="",$K251="",$M251="",$N251="",$Q251="",$R251="",$S251=""),"INCOMPLETO",IF(LEFT($C251,3)="PTT",IF(COUNTIF('Estratos e PTTs'!$B$15:$B$30,$E251)=0,"TIPO PTT INVÁLIDO","OK"),"OK")))))</f>
        <v/>
      </c>
      <c r="X251" s="52"/>
    </row>
    <row r="252" ht="15.75" customHeight="1">
      <c r="A252" s="52"/>
      <c r="B252" s="28" t="str">
        <f>IF($A252="","",IFERROR(VLOOKUP($A252,'Resumo por docente'!$A$8:$B$57,2,FALSE),""))</f>
        <v/>
      </c>
      <c r="C252" s="38"/>
      <c r="D252" s="57"/>
      <c r="E252" s="38"/>
      <c r="F252" s="52"/>
      <c r="G252" s="38"/>
      <c r="H252" s="38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48" t="str">
        <f>IF($A252="","",IF(OR($C252="",$D252="",$E252="",$F252=""),"INCOMPLETO",IF(OR($D252&lt;2021,$D252&gt;2026),"ANO FORA DA JANELA",IF(OR(LOWER($U252)&lt;&gt;"sim",LOWER($V252)&lt;&gt;"sim",$G252="",$H252="",$J252="",$K252="",$M252="",$N252="",$Q252="",$R252="",$S252=""),"INCOMPLETO",IF(LEFT($C252,3)="PTT",IF(COUNTIF('Estratos e PTTs'!$B$15:$B$30,$E252)=0,"TIPO PTT INVÁLIDO","OK"),"OK")))))</f>
        <v/>
      </c>
      <c r="X252" s="52"/>
    </row>
    <row r="253" ht="15.75" customHeight="1">
      <c r="A253" s="52"/>
      <c r="B253" s="28" t="str">
        <f>IF($A253="","",IFERROR(VLOOKUP($A253,'Resumo por docente'!$A$8:$B$57,2,FALSE),""))</f>
        <v/>
      </c>
      <c r="C253" s="38"/>
      <c r="D253" s="57"/>
      <c r="E253" s="38"/>
      <c r="F253" s="52"/>
      <c r="G253" s="38"/>
      <c r="H253" s="38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48" t="str">
        <f>IF($A253="","",IF(OR($C253="",$D253="",$E253="",$F253=""),"INCOMPLETO",IF(OR($D253&lt;2021,$D253&gt;2026),"ANO FORA DA JANELA",IF(OR(LOWER($U253)&lt;&gt;"sim",LOWER($V253)&lt;&gt;"sim",$G253="",$H253="",$J253="",$K253="",$M253="",$N253="",$Q253="",$R253="",$S253=""),"INCOMPLETO",IF(LEFT($C253,3)="PTT",IF(COUNTIF('Estratos e PTTs'!$B$15:$B$30,$E253)=0,"TIPO PTT INVÁLIDO","OK"),"OK")))))</f>
        <v/>
      </c>
      <c r="X253" s="52"/>
    </row>
    <row r="254" ht="15.75" customHeight="1">
      <c r="A254" s="52"/>
      <c r="B254" s="28" t="str">
        <f>IF($A254="","",IFERROR(VLOOKUP($A254,'Resumo por docente'!$A$8:$B$57,2,FALSE),""))</f>
        <v/>
      </c>
      <c r="C254" s="38"/>
      <c r="D254" s="57"/>
      <c r="E254" s="38"/>
      <c r="F254" s="52"/>
      <c r="G254" s="38"/>
      <c r="H254" s="38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48" t="str">
        <f>IF($A254="","",IF(OR($C254="",$D254="",$E254="",$F254=""),"INCOMPLETO",IF(OR($D254&lt;2021,$D254&gt;2026),"ANO FORA DA JANELA",IF(OR(LOWER($U254)&lt;&gt;"sim",LOWER($V254)&lt;&gt;"sim",$G254="",$H254="",$J254="",$K254="",$M254="",$N254="",$Q254="",$R254="",$S254=""),"INCOMPLETO",IF(LEFT($C254,3)="PTT",IF(COUNTIF('Estratos e PTTs'!$B$15:$B$30,$E254)=0,"TIPO PTT INVÁLIDO","OK"),"OK")))))</f>
        <v/>
      </c>
      <c r="X254" s="52"/>
    </row>
    <row r="255" ht="15.75" customHeight="1">
      <c r="A255" s="52"/>
      <c r="B255" s="28" t="str">
        <f>IF($A255="","",IFERROR(VLOOKUP($A255,'Resumo por docente'!$A$8:$B$57,2,FALSE),""))</f>
        <v/>
      </c>
      <c r="C255" s="38"/>
      <c r="D255" s="57"/>
      <c r="E255" s="38"/>
      <c r="F255" s="52"/>
      <c r="G255" s="38"/>
      <c r="H255" s="38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48" t="str">
        <f>IF($A255="","",IF(OR($C255="",$D255="",$E255="",$F255=""),"INCOMPLETO",IF(OR($D255&lt;2021,$D255&gt;2026),"ANO FORA DA JANELA",IF(OR(LOWER($U255)&lt;&gt;"sim",LOWER($V255)&lt;&gt;"sim",$G255="",$H255="",$J255="",$K255="",$M255="",$N255="",$Q255="",$R255="",$S255=""),"INCOMPLETO",IF(LEFT($C255,3)="PTT",IF(COUNTIF('Estratos e PTTs'!$B$15:$B$30,$E255)=0,"TIPO PTT INVÁLIDO","OK"),"OK")))))</f>
        <v/>
      </c>
      <c r="X255" s="52"/>
    </row>
    <row r="256" ht="15.75" customHeight="1">
      <c r="A256" s="52"/>
      <c r="B256" s="28" t="str">
        <f>IF($A256="","",IFERROR(VLOOKUP($A256,'Resumo por docente'!$A$8:$B$57,2,FALSE),""))</f>
        <v/>
      </c>
      <c r="C256" s="38"/>
      <c r="D256" s="57"/>
      <c r="E256" s="38"/>
      <c r="F256" s="52"/>
      <c r="G256" s="38"/>
      <c r="H256" s="38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48" t="str">
        <f>IF($A256="","",IF(OR($C256="",$D256="",$E256="",$F256=""),"INCOMPLETO",IF(OR($D256&lt;2021,$D256&gt;2026),"ANO FORA DA JANELA",IF(OR(LOWER($U256)&lt;&gt;"sim",LOWER($V256)&lt;&gt;"sim",$G256="",$H256="",$J256="",$K256="",$M256="",$N256="",$Q256="",$R256="",$S256=""),"INCOMPLETO",IF(LEFT($C256,3)="PTT",IF(COUNTIF('Estratos e PTTs'!$B$15:$B$30,$E256)=0,"TIPO PTT INVÁLIDO","OK"),"OK")))))</f>
        <v/>
      </c>
      <c r="X256" s="52"/>
    </row>
    <row r="257" ht="15.75" customHeight="1">
      <c r="A257" s="52"/>
      <c r="B257" s="28" t="str">
        <f>IF($A257="","",IFERROR(VLOOKUP($A257,'Resumo por docente'!$A$8:$B$57,2,FALSE),""))</f>
        <v/>
      </c>
      <c r="C257" s="38"/>
      <c r="D257" s="57"/>
      <c r="E257" s="38"/>
      <c r="F257" s="52"/>
      <c r="G257" s="38"/>
      <c r="H257" s="38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48" t="str">
        <f>IF($A257="","",IF(OR($C257="",$D257="",$E257="",$F257=""),"INCOMPLETO",IF(OR($D257&lt;2021,$D257&gt;2026),"ANO FORA DA JANELA",IF(OR(LOWER($U257)&lt;&gt;"sim",LOWER($V257)&lt;&gt;"sim",$G257="",$H257="",$J257="",$K257="",$M257="",$N257="",$Q257="",$R257="",$S257=""),"INCOMPLETO",IF(LEFT($C257,3)="PTT",IF(COUNTIF('Estratos e PTTs'!$B$15:$B$30,$E257)=0,"TIPO PTT INVÁLIDO","OK"),"OK")))))</f>
        <v/>
      </c>
      <c r="X257" s="52"/>
    </row>
    <row r="258" ht="15.75" customHeight="1">
      <c r="A258" s="52"/>
      <c r="B258" s="28" t="str">
        <f>IF($A258="","",IFERROR(VLOOKUP($A258,'Resumo por docente'!$A$8:$B$57,2,FALSE),""))</f>
        <v/>
      </c>
      <c r="C258" s="38"/>
      <c r="D258" s="57"/>
      <c r="E258" s="38"/>
      <c r="F258" s="52"/>
      <c r="G258" s="38"/>
      <c r="H258" s="38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48" t="str">
        <f>IF($A258="","",IF(OR($C258="",$D258="",$E258="",$F258=""),"INCOMPLETO",IF(OR($D258&lt;2021,$D258&gt;2026),"ANO FORA DA JANELA",IF(OR(LOWER($U258)&lt;&gt;"sim",LOWER($V258)&lt;&gt;"sim",$G258="",$H258="",$J258="",$K258="",$M258="",$N258="",$Q258="",$R258="",$S258=""),"INCOMPLETO",IF(LEFT($C258,3)="PTT",IF(COUNTIF('Estratos e PTTs'!$B$15:$B$30,$E258)=0,"TIPO PTT INVÁLIDO","OK"),"OK")))))</f>
        <v/>
      </c>
      <c r="X258" s="52"/>
    </row>
    <row r="259" ht="15.75" customHeight="1">
      <c r="A259" s="52"/>
      <c r="B259" s="28" t="str">
        <f>IF($A259="","",IFERROR(VLOOKUP($A259,'Resumo por docente'!$A$8:$B$57,2,FALSE),""))</f>
        <v/>
      </c>
      <c r="C259" s="38"/>
      <c r="D259" s="57"/>
      <c r="E259" s="38"/>
      <c r="F259" s="52"/>
      <c r="G259" s="38"/>
      <c r="H259" s="38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48" t="str">
        <f>IF($A259="","",IF(OR($C259="",$D259="",$E259="",$F259=""),"INCOMPLETO",IF(OR($D259&lt;2021,$D259&gt;2026),"ANO FORA DA JANELA",IF(OR(LOWER($U259)&lt;&gt;"sim",LOWER($V259)&lt;&gt;"sim",$G259="",$H259="",$J259="",$K259="",$M259="",$N259="",$Q259="",$R259="",$S259=""),"INCOMPLETO",IF(LEFT($C259,3)="PTT",IF(COUNTIF('Estratos e PTTs'!$B$15:$B$30,$E259)=0,"TIPO PTT INVÁLIDO","OK"),"OK")))))</f>
        <v/>
      </c>
      <c r="X259" s="52"/>
    </row>
    <row r="260" ht="15.75" customHeight="1">
      <c r="A260" s="52"/>
      <c r="B260" s="28" t="str">
        <f>IF($A260="","",IFERROR(VLOOKUP($A260,'Resumo por docente'!$A$8:$B$57,2,FALSE),""))</f>
        <v/>
      </c>
      <c r="C260" s="38"/>
      <c r="D260" s="57"/>
      <c r="E260" s="38"/>
      <c r="F260" s="52"/>
      <c r="G260" s="38"/>
      <c r="H260" s="38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48" t="str">
        <f>IF($A260="","",IF(OR($C260="",$D260="",$E260="",$F260=""),"INCOMPLETO",IF(OR($D260&lt;2021,$D260&gt;2026),"ANO FORA DA JANELA",IF(OR(LOWER($U260)&lt;&gt;"sim",LOWER($V260)&lt;&gt;"sim",$G260="",$H260="",$J260="",$K260="",$M260="",$N260="",$Q260="",$R260="",$S260=""),"INCOMPLETO",IF(LEFT($C260,3)="PTT",IF(COUNTIF('Estratos e PTTs'!$B$15:$B$30,$E260)=0,"TIPO PTT INVÁLIDO","OK"),"OK")))))</f>
        <v/>
      </c>
      <c r="X260" s="52"/>
    </row>
    <row r="261" ht="15.75" customHeight="1">
      <c r="A261" s="52"/>
      <c r="B261" s="28" t="str">
        <f>IF($A261="","",IFERROR(VLOOKUP($A261,'Resumo por docente'!$A$8:$B$57,2,FALSE),""))</f>
        <v/>
      </c>
      <c r="C261" s="38"/>
      <c r="D261" s="57"/>
      <c r="E261" s="38"/>
      <c r="F261" s="52"/>
      <c r="G261" s="38"/>
      <c r="H261" s="38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48" t="str">
        <f>IF($A261="","",IF(OR($C261="",$D261="",$E261="",$F261=""),"INCOMPLETO",IF(OR($D261&lt;2021,$D261&gt;2026),"ANO FORA DA JANELA",IF(OR(LOWER($U261)&lt;&gt;"sim",LOWER($V261)&lt;&gt;"sim",$G261="",$H261="",$J261="",$K261="",$M261="",$N261="",$Q261="",$R261="",$S261=""),"INCOMPLETO",IF(LEFT($C261,3)="PTT",IF(COUNTIF('Estratos e PTTs'!$B$15:$B$30,$E261)=0,"TIPO PTT INVÁLIDO","OK"),"OK")))))</f>
        <v/>
      </c>
      <c r="X261" s="52"/>
    </row>
    <row r="262" ht="15.75" customHeight="1">
      <c r="A262" s="52"/>
      <c r="B262" s="28" t="str">
        <f>IF($A262="","",IFERROR(VLOOKUP($A262,'Resumo por docente'!$A$8:$B$57,2,FALSE),""))</f>
        <v/>
      </c>
      <c r="C262" s="38"/>
      <c r="D262" s="57"/>
      <c r="E262" s="38"/>
      <c r="F262" s="52"/>
      <c r="G262" s="38"/>
      <c r="H262" s="38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48" t="str">
        <f>IF($A262="","",IF(OR($C262="",$D262="",$E262="",$F262=""),"INCOMPLETO",IF(OR($D262&lt;2021,$D262&gt;2026),"ANO FORA DA JANELA",IF(OR(LOWER($U262)&lt;&gt;"sim",LOWER($V262)&lt;&gt;"sim",$G262="",$H262="",$J262="",$K262="",$M262="",$N262="",$Q262="",$R262="",$S262=""),"INCOMPLETO",IF(LEFT($C262,3)="PTT",IF(COUNTIF('Estratos e PTTs'!$B$15:$B$30,$E262)=0,"TIPO PTT INVÁLIDO","OK"),"OK")))))</f>
        <v/>
      </c>
      <c r="X262" s="52"/>
    </row>
    <row r="263" ht="15.75" customHeight="1">
      <c r="A263" s="52"/>
      <c r="B263" s="28" t="str">
        <f>IF($A263="","",IFERROR(VLOOKUP($A263,'Resumo por docente'!$A$8:$B$57,2,FALSE),""))</f>
        <v/>
      </c>
      <c r="C263" s="38"/>
      <c r="D263" s="57"/>
      <c r="E263" s="38"/>
      <c r="F263" s="52"/>
      <c r="G263" s="38"/>
      <c r="H263" s="38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48" t="str">
        <f>IF($A263="","",IF(OR($C263="",$D263="",$E263="",$F263=""),"INCOMPLETO",IF(OR($D263&lt;2021,$D263&gt;2026),"ANO FORA DA JANELA",IF(OR(LOWER($U263)&lt;&gt;"sim",LOWER($V263)&lt;&gt;"sim",$G263="",$H263="",$J263="",$K263="",$M263="",$N263="",$Q263="",$R263="",$S263=""),"INCOMPLETO",IF(LEFT($C263,3)="PTT",IF(COUNTIF('Estratos e PTTs'!$B$15:$B$30,$E263)=0,"TIPO PTT INVÁLIDO","OK"),"OK")))))</f>
        <v/>
      </c>
      <c r="X263" s="52"/>
    </row>
    <row r="264" ht="15.75" customHeight="1">
      <c r="A264" s="52"/>
      <c r="B264" s="28" t="str">
        <f>IF($A264="","",IFERROR(VLOOKUP($A264,'Resumo por docente'!$A$8:$B$57,2,FALSE),""))</f>
        <v/>
      </c>
      <c r="C264" s="38"/>
      <c r="D264" s="57"/>
      <c r="E264" s="38"/>
      <c r="F264" s="52"/>
      <c r="G264" s="38"/>
      <c r="H264" s="38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48" t="str">
        <f>IF($A264="","",IF(OR($C264="",$D264="",$E264="",$F264=""),"INCOMPLETO",IF(OR($D264&lt;2021,$D264&gt;2026),"ANO FORA DA JANELA",IF(OR(LOWER($U264)&lt;&gt;"sim",LOWER($V264)&lt;&gt;"sim",$G264="",$H264="",$J264="",$K264="",$M264="",$N264="",$Q264="",$R264="",$S264=""),"INCOMPLETO",IF(LEFT($C264,3)="PTT",IF(COUNTIF('Estratos e PTTs'!$B$15:$B$30,$E264)=0,"TIPO PTT INVÁLIDO","OK"),"OK")))))</f>
        <v/>
      </c>
      <c r="X264" s="52"/>
    </row>
    <row r="265" ht="15.75" customHeight="1">
      <c r="A265" s="52"/>
      <c r="B265" s="28" t="str">
        <f>IF($A265="","",IFERROR(VLOOKUP($A265,'Resumo por docente'!$A$8:$B$57,2,FALSE),""))</f>
        <v/>
      </c>
      <c r="C265" s="38"/>
      <c r="D265" s="57"/>
      <c r="E265" s="38"/>
      <c r="F265" s="52"/>
      <c r="G265" s="38"/>
      <c r="H265" s="38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48" t="str">
        <f>IF($A265="","",IF(OR($C265="",$D265="",$E265="",$F265=""),"INCOMPLETO",IF(OR($D265&lt;2021,$D265&gt;2026),"ANO FORA DA JANELA",IF(OR(LOWER($U265)&lt;&gt;"sim",LOWER($V265)&lt;&gt;"sim",$G265="",$H265="",$J265="",$K265="",$M265="",$N265="",$Q265="",$R265="",$S265=""),"INCOMPLETO",IF(LEFT($C265,3)="PTT",IF(COUNTIF('Estratos e PTTs'!$B$15:$B$30,$E265)=0,"TIPO PTT INVÁLIDO","OK"),"OK")))))</f>
        <v/>
      </c>
      <c r="X265" s="52"/>
    </row>
    <row r="266" ht="15.75" customHeight="1">
      <c r="A266" s="52"/>
      <c r="B266" s="28" t="str">
        <f>IF($A266="","",IFERROR(VLOOKUP($A266,'Resumo por docente'!$A$8:$B$57,2,FALSE),""))</f>
        <v/>
      </c>
      <c r="C266" s="38"/>
      <c r="D266" s="57"/>
      <c r="E266" s="38"/>
      <c r="F266" s="52"/>
      <c r="G266" s="38"/>
      <c r="H266" s="38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48" t="str">
        <f>IF($A266="","",IF(OR($C266="",$D266="",$E266="",$F266=""),"INCOMPLETO",IF(OR($D266&lt;2021,$D266&gt;2026),"ANO FORA DA JANELA",IF(OR(LOWER($U266)&lt;&gt;"sim",LOWER($V266)&lt;&gt;"sim",$G266="",$H266="",$J266="",$K266="",$M266="",$N266="",$Q266="",$R266="",$S266=""),"INCOMPLETO",IF(LEFT($C266,3)="PTT",IF(COUNTIF('Estratos e PTTs'!$B$15:$B$30,$E266)=0,"TIPO PTT INVÁLIDO","OK"),"OK")))))</f>
        <v/>
      </c>
      <c r="X266" s="52"/>
    </row>
    <row r="267" ht="15.75" customHeight="1">
      <c r="A267" s="52"/>
      <c r="B267" s="28" t="str">
        <f>IF($A267="","",IFERROR(VLOOKUP($A267,'Resumo por docente'!$A$8:$B$57,2,FALSE),""))</f>
        <v/>
      </c>
      <c r="C267" s="38"/>
      <c r="D267" s="57"/>
      <c r="E267" s="38"/>
      <c r="F267" s="52"/>
      <c r="G267" s="38"/>
      <c r="H267" s="38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48" t="str">
        <f>IF($A267="","",IF(OR($C267="",$D267="",$E267="",$F267=""),"INCOMPLETO",IF(OR($D267&lt;2021,$D267&gt;2026),"ANO FORA DA JANELA",IF(OR(LOWER($U267)&lt;&gt;"sim",LOWER($V267)&lt;&gt;"sim",$G267="",$H267="",$J267="",$K267="",$M267="",$N267="",$Q267="",$R267="",$S267=""),"INCOMPLETO",IF(LEFT($C267,3)="PTT",IF(COUNTIF('Estratos e PTTs'!$B$15:$B$30,$E267)=0,"TIPO PTT INVÁLIDO","OK"),"OK")))))</f>
        <v/>
      </c>
      <c r="X267" s="52"/>
    </row>
    <row r="268" ht="15.75" customHeight="1">
      <c r="A268" s="52"/>
      <c r="B268" s="28" t="str">
        <f>IF($A268="","",IFERROR(VLOOKUP($A268,'Resumo por docente'!$A$8:$B$57,2,FALSE),""))</f>
        <v/>
      </c>
      <c r="C268" s="38"/>
      <c r="D268" s="57"/>
      <c r="E268" s="38"/>
      <c r="F268" s="52"/>
      <c r="G268" s="38"/>
      <c r="H268" s="38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48" t="str">
        <f>IF($A268="","",IF(OR($C268="",$D268="",$E268="",$F268=""),"INCOMPLETO",IF(OR($D268&lt;2021,$D268&gt;2026),"ANO FORA DA JANELA",IF(OR(LOWER($U268)&lt;&gt;"sim",LOWER($V268)&lt;&gt;"sim",$G268="",$H268="",$J268="",$K268="",$M268="",$N268="",$Q268="",$R268="",$S268=""),"INCOMPLETO",IF(LEFT($C268,3)="PTT",IF(COUNTIF('Estratos e PTTs'!$B$15:$B$30,$E268)=0,"TIPO PTT INVÁLIDO","OK"),"OK")))))</f>
        <v/>
      </c>
      <c r="X268" s="52"/>
    </row>
    <row r="269" ht="15.75" customHeight="1">
      <c r="A269" s="52"/>
      <c r="B269" s="28" t="str">
        <f>IF($A269="","",IFERROR(VLOOKUP($A269,'Resumo por docente'!$A$8:$B$57,2,FALSE),""))</f>
        <v/>
      </c>
      <c r="C269" s="38"/>
      <c r="D269" s="57"/>
      <c r="E269" s="38"/>
      <c r="F269" s="52"/>
      <c r="G269" s="38"/>
      <c r="H269" s="38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48" t="str">
        <f>IF($A269="","",IF(OR($C269="",$D269="",$E269="",$F269=""),"INCOMPLETO",IF(OR($D269&lt;2021,$D269&gt;2026),"ANO FORA DA JANELA",IF(OR(LOWER($U269)&lt;&gt;"sim",LOWER($V269)&lt;&gt;"sim",$G269="",$H269="",$J269="",$K269="",$M269="",$N269="",$Q269="",$R269="",$S269=""),"INCOMPLETO",IF(LEFT($C269,3)="PTT",IF(COUNTIF('Estratos e PTTs'!$B$15:$B$30,$E269)=0,"TIPO PTT INVÁLIDO","OK"),"OK")))))</f>
        <v/>
      </c>
      <c r="X269" s="52"/>
    </row>
    <row r="270" ht="15.75" customHeight="1">
      <c r="A270" s="52"/>
      <c r="B270" s="28" t="str">
        <f>IF($A270="","",IFERROR(VLOOKUP($A270,'Resumo por docente'!$A$8:$B$57,2,FALSE),""))</f>
        <v/>
      </c>
      <c r="C270" s="38"/>
      <c r="D270" s="57"/>
      <c r="E270" s="38"/>
      <c r="F270" s="52"/>
      <c r="G270" s="38"/>
      <c r="H270" s="38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48" t="str">
        <f>IF($A270="","",IF(OR($C270="",$D270="",$E270="",$F270=""),"INCOMPLETO",IF(OR($D270&lt;2021,$D270&gt;2026),"ANO FORA DA JANELA",IF(OR(LOWER($U270)&lt;&gt;"sim",LOWER($V270)&lt;&gt;"sim",$G270="",$H270="",$J270="",$K270="",$M270="",$N270="",$Q270="",$R270="",$S270=""),"INCOMPLETO",IF(LEFT($C270,3)="PTT",IF(COUNTIF('Estratos e PTTs'!$B$15:$B$30,$E270)=0,"TIPO PTT INVÁLIDO","OK"),"OK")))))</f>
        <v/>
      </c>
      <c r="X270" s="52"/>
    </row>
    <row r="271" ht="15.75" customHeight="1">
      <c r="A271" s="52"/>
      <c r="B271" s="28" t="str">
        <f>IF($A271="","",IFERROR(VLOOKUP($A271,'Resumo por docente'!$A$8:$B$57,2,FALSE),""))</f>
        <v/>
      </c>
      <c r="C271" s="38"/>
      <c r="D271" s="57"/>
      <c r="E271" s="38"/>
      <c r="F271" s="52"/>
      <c r="G271" s="38"/>
      <c r="H271" s="38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48" t="str">
        <f>IF($A271="","",IF(OR($C271="",$D271="",$E271="",$F271=""),"INCOMPLETO",IF(OR($D271&lt;2021,$D271&gt;2026),"ANO FORA DA JANELA",IF(OR(LOWER($U271)&lt;&gt;"sim",LOWER($V271)&lt;&gt;"sim",$G271="",$H271="",$J271="",$K271="",$M271="",$N271="",$Q271="",$R271="",$S271=""),"INCOMPLETO",IF(LEFT($C271,3)="PTT",IF(COUNTIF('Estratos e PTTs'!$B$15:$B$30,$E271)=0,"TIPO PTT INVÁLIDO","OK"),"OK")))))</f>
        <v/>
      </c>
      <c r="X271" s="52"/>
    </row>
    <row r="272" ht="15.75" customHeight="1">
      <c r="A272" s="52"/>
      <c r="B272" s="28" t="str">
        <f>IF($A272="","",IFERROR(VLOOKUP($A272,'Resumo por docente'!$A$8:$B$57,2,FALSE),""))</f>
        <v/>
      </c>
      <c r="C272" s="38"/>
      <c r="D272" s="57"/>
      <c r="E272" s="38"/>
      <c r="F272" s="52"/>
      <c r="G272" s="38"/>
      <c r="H272" s="38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48" t="str">
        <f>IF($A272="","",IF(OR($C272="",$D272="",$E272="",$F272=""),"INCOMPLETO",IF(OR($D272&lt;2021,$D272&gt;2026),"ANO FORA DA JANELA",IF(OR(LOWER($U272)&lt;&gt;"sim",LOWER($V272)&lt;&gt;"sim",$G272="",$H272="",$J272="",$K272="",$M272="",$N272="",$Q272="",$R272="",$S272=""),"INCOMPLETO",IF(LEFT($C272,3)="PTT",IF(COUNTIF('Estratos e PTTs'!$B$15:$B$30,$E272)=0,"TIPO PTT INVÁLIDO","OK"),"OK")))))</f>
        <v/>
      </c>
      <c r="X272" s="52"/>
    </row>
    <row r="273" ht="15.75" customHeight="1">
      <c r="A273" s="52"/>
      <c r="B273" s="28" t="str">
        <f>IF($A273="","",IFERROR(VLOOKUP($A273,'Resumo por docente'!$A$8:$B$57,2,FALSE),""))</f>
        <v/>
      </c>
      <c r="C273" s="38"/>
      <c r="D273" s="57"/>
      <c r="E273" s="38"/>
      <c r="F273" s="52"/>
      <c r="G273" s="38"/>
      <c r="H273" s="38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48" t="str">
        <f>IF($A273="","",IF(OR($C273="",$D273="",$E273="",$F273=""),"INCOMPLETO",IF(OR($D273&lt;2021,$D273&gt;2026),"ANO FORA DA JANELA",IF(OR(LOWER($U273)&lt;&gt;"sim",LOWER($V273)&lt;&gt;"sim",$G273="",$H273="",$J273="",$K273="",$M273="",$N273="",$Q273="",$R273="",$S273=""),"INCOMPLETO",IF(LEFT($C273,3)="PTT",IF(COUNTIF('Estratos e PTTs'!$B$15:$B$30,$E273)=0,"TIPO PTT INVÁLIDO","OK"),"OK")))))</f>
        <v/>
      </c>
      <c r="X273" s="52"/>
    </row>
    <row r="274" ht="15.75" customHeight="1">
      <c r="A274" s="52"/>
      <c r="B274" s="28" t="str">
        <f>IF($A274="","",IFERROR(VLOOKUP($A274,'Resumo por docente'!$A$8:$B$57,2,FALSE),""))</f>
        <v/>
      </c>
      <c r="C274" s="38"/>
      <c r="D274" s="57"/>
      <c r="E274" s="38"/>
      <c r="F274" s="52"/>
      <c r="G274" s="38"/>
      <c r="H274" s="38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48" t="str">
        <f>IF($A274="","",IF(OR($C274="",$D274="",$E274="",$F274=""),"INCOMPLETO",IF(OR($D274&lt;2021,$D274&gt;2026),"ANO FORA DA JANELA",IF(OR(LOWER($U274)&lt;&gt;"sim",LOWER($V274)&lt;&gt;"sim",$G274="",$H274="",$J274="",$K274="",$M274="",$N274="",$Q274="",$R274="",$S274=""),"INCOMPLETO",IF(LEFT($C274,3)="PTT",IF(COUNTIF('Estratos e PTTs'!$B$15:$B$30,$E274)=0,"TIPO PTT INVÁLIDO","OK"),"OK")))))</f>
        <v/>
      </c>
      <c r="X274" s="52"/>
    </row>
    <row r="275" ht="15.75" customHeight="1">
      <c r="A275" s="52"/>
      <c r="B275" s="28" t="str">
        <f>IF($A275="","",IFERROR(VLOOKUP($A275,'Resumo por docente'!$A$8:$B$57,2,FALSE),""))</f>
        <v/>
      </c>
      <c r="C275" s="38"/>
      <c r="D275" s="57"/>
      <c r="E275" s="38"/>
      <c r="F275" s="52"/>
      <c r="G275" s="38"/>
      <c r="H275" s="38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48" t="str">
        <f>IF($A275="","",IF(OR($C275="",$D275="",$E275="",$F275=""),"INCOMPLETO",IF(OR($D275&lt;2021,$D275&gt;2026),"ANO FORA DA JANELA",IF(OR(LOWER($U275)&lt;&gt;"sim",LOWER($V275)&lt;&gt;"sim",$G275="",$H275="",$J275="",$K275="",$M275="",$N275="",$Q275="",$R275="",$S275=""),"INCOMPLETO",IF(LEFT($C275,3)="PTT",IF(COUNTIF('Estratos e PTTs'!$B$15:$B$30,$E275)=0,"TIPO PTT INVÁLIDO","OK"),"OK")))))</f>
        <v/>
      </c>
      <c r="X275" s="52"/>
    </row>
    <row r="276" ht="15.75" customHeight="1">
      <c r="A276" s="52"/>
      <c r="B276" s="28" t="str">
        <f>IF($A276="","",IFERROR(VLOOKUP($A276,'Resumo por docente'!$A$8:$B$57,2,FALSE),""))</f>
        <v/>
      </c>
      <c r="C276" s="38"/>
      <c r="D276" s="57"/>
      <c r="E276" s="38"/>
      <c r="F276" s="52"/>
      <c r="G276" s="38"/>
      <c r="H276" s="38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48" t="str">
        <f>IF($A276="","",IF(OR($C276="",$D276="",$E276="",$F276=""),"INCOMPLETO",IF(OR($D276&lt;2021,$D276&gt;2026),"ANO FORA DA JANELA",IF(OR(LOWER($U276)&lt;&gt;"sim",LOWER($V276)&lt;&gt;"sim",$G276="",$H276="",$J276="",$K276="",$M276="",$N276="",$Q276="",$R276="",$S276=""),"INCOMPLETO",IF(LEFT($C276,3)="PTT",IF(COUNTIF('Estratos e PTTs'!$B$15:$B$30,$E276)=0,"TIPO PTT INVÁLIDO","OK"),"OK")))))</f>
        <v/>
      </c>
      <c r="X276" s="52"/>
    </row>
    <row r="277" ht="15.75" customHeight="1">
      <c r="A277" s="52"/>
      <c r="B277" s="28" t="str">
        <f>IF($A277="","",IFERROR(VLOOKUP($A277,'Resumo por docente'!$A$8:$B$57,2,FALSE),""))</f>
        <v/>
      </c>
      <c r="C277" s="38"/>
      <c r="D277" s="57"/>
      <c r="E277" s="38"/>
      <c r="F277" s="52"/>
      <c r="G277" s="38"/>
      <c r="H277" s="38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48" t="str">
        <f>IF($A277="","",IF(OR($C277="",$D277="",$E277="",$F277=""),"INCOMPLETO",IF(OR($D277&lt;2021,$D277&gt;2026),"ANO FORA DA JANELA",IF(OR(LOWER($U277)&lt;&gt;"sim",LOWER($V277)&lt;&gt;"sim",$G277="",$H277="",$J277="",$K277="",$M277="",$N277="",$Q277="",$R277="",$S277=""),"INCOMPLETO",IF(LEFT($C277,3)="PTT",IF(COUNTIF('Estratos e PTTs'!$B$15:$B$30,$E277)=0,"TIPO PTT INVÁLIDO","OK"),"OK")))))</f>
        <v/>
      </c>
      <c r="X277" s="52"/>
    </row>
    <row r="278" ht="15.75" customHeight="1">
      <c r="A278" s="52"/>
      <c r="B278" s="28" t="str">
        <f>IF($A278="","",IFERROR(VLOOKUP($A278,'Resumo por docente'!$A$8:$B$57,2,FALSE),""))</f>
        <v/>
      </c>
      <c r="C278" s="38"/>
      <c r="D278" s="57"/>
      <c r="E278" s="38"/>
      <c r="F278" s="52"/>
      <c r="G278" s="38"/>
      <c r="H278" s="38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48" t="str">
        <f>IF($A278="","",IF(OR($C278="",$D278="",$E278="",$F278=""),"INCOMPLETO",IF(OR($D278&lt;2021,$D278&gt;2026),"ANO FORA DA JANELA",IF(OR(LOWER($U278)&lt;&gt;"sim",LOWER($V278)&lt;&gt;"sim",$G278="",$H278="",$J278="",$K278="",$M278="",$N278="",$Q278="",$R278="",$S278=""),"INCOMPLETO",IF(LEFT($C278,3)="PTT",IF(COUNTIF('Estratos e PTTs'!$B$15:$B$30,$E278)=0,"TIPO PTT INVÁLIDO","OK"),"OK")))))</f>
        <v/>
      </c>
      <c r="X278" s="52"/>
    </row>
    <row r="279" ht="15.75" customHeight="1">
      <c r="A279" s="52"/>
      <c r="B279" s="28" t="str">
        <f>IF($A279="","",IFERROR(VLOOKUP($A279,'Resumo por docente'!$A$8:$B$57,2,FALSE),""))</f>
        <v/>
      </c>
      <c r="C279" s="38"/>
      <c r="D279" s="57"/>
      <c r="E279" s="38"/>
      <c r="F279" s="52"/>
      <c r="G279" s="38"/>
      <c r="H279" s="38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48" t="str">
        <f>IF($A279="","",IF(OR($C279="",$D279="",$E279="",$F279=""),"INCOMPLETO",IF(OR($D279&lt;2021,$D279&gt;2026),"ANO FORA DA JANELA",IF(OR(LOWER($U279)&lt;&gt;"sim",LOWER($V279)&lt;&gt;"sim",$G279="",$H279="",$J279="",$K279="",$M279="",$N279="",$Q279="",$R279="",$S279=""),"INCOMPLETO",IF(LEFT($C279,3)="PTT",IF(COUNTIF('Estratos e PTTs'!$B$15:$B$30,$E279)=0,"TIPO PTT INVÁLIDO","OK"),"OK")))))</f>
        <v/>
      </c>
      <c r="X279" s="52"/>
    </row>
    <row r="280" ht="15.75" customHeight="1">
      <c r="A280" s="52"/>
      <c r="B280" s="28" t="str">
        <f>IF($A280="","",IFERROR(VLOOKUP($A280,'Resumo por docente'!$A$8:$B$57,2,FALSE),""))</f>
        <v/>
      </c>
      <c r="C280" s="38"/>
      <c r="D280" s="57"/>
      <c r="E280" s="38"/>
      <c r="F280" s="52"/>
      <c r="G280" s="38"/>
      <c r="H280" s="38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48" t="str">
        <f>IF($A280="","",IF(OR($C280="",$D280="",$E280="",$F280=""),"INCOMPLETO",IF(OR($D280&lt;2021,$D280&gt;2026),"ANO FORA DA JANELA",IF(OR(LOWER($U280)&lt;&gt;"sim",LOWER($V280)&lt;&gt;"sim",$G280="",$H280="",$J280="",$K280="",$M280="",$N280="",$Q280="",$R280="",$S280=""),"INCOMPLETO",IF(LEFT($C280,3)="PTT",IF(COUNTIF('Estratos e PTTs'!$B$15:$B$30,$E280)=0,"TIPO PTT INVÁLIDO","OK"),"OK")))))</f>
        <v/>
      </c>
      <c r="X280" s="52"/>
    </row>
    <row r="281" ht="15.75" customHeight="1">
      <c r="A281" s="52"/>
      <c r="B281" s="28" t="str">
        <f>IF($A281="","",IFERROR(VLOOKUP($A281,'Resumo por docente'!$A$8:$B$57,2,FALSE),""))</f>
        <v/>
      </c>
      <c r="C281" s="38"/>
      <c r="D281" s="57"/>
      <c r="E281" s="38"/>
      <c r="F281" s="52"/>
      <c r="G281" s="38"/>
      <c r="H281" s="38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48" t="str">
        <f>IF($A281="","",IF(OR($C281="",$D281="",$E281="",$F281=""),"INCOMPLETO",IF(OR($D281&lt;2021,$D281&gt;2026),"ANO FORA DA JANELA",IF(OR(LOWER($U281)&lt;&gt;"sim",LOWER($V281)&lt;&gt;"sim",$G281="",$H281="",$J281="",$K281="",$M281="",$N281="",$Q281="",$R281="",$S281=""),"INCOMPLETO",IF(LEFT($C281,3)="PTT",IF(COUNTIF('Estratos e PTTs'!$B$15:$B$30,$E281)=0,"TIPO PTT INVÁLIDO","OK"),"OK")))))</f>
        <v/>
      </c>
      <c r="X281" s="52"/>
    </row>
    <row r="282" ht="15.75" customHeight="1">
      <c r="A282" s="52"/>
      <c r="B282" s="28" t="str">
        <f>IF($A282="","",IFERROR(VLOOKUP($A282,'Resumo por docente'!$A$8:$B$57,2,FALSE),""))</f>
        <v/>
      </c>
      <c r="C282" s="38"/>
      <c r="D282" s="57"/>
      <c r="E282" s="38"/>
      <c r="F282" s="52"/>
      <c r="G282" s="38"/>
      <c r="H282" s="38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48" t="str">
        <f>IF($A282="","",IF(OR($C282="",$D282="",$E282="",$F282=""),"INCOMPLETO",IF(OR($D282&lt;2021,$D282&gt;2026),"ANO FORA DA JANELA",IF(OR(LOWER($U282)&lt;&gt;"sim",LOWER($V282)&lt;&gt;"sim",$G282="",$H282="",$J282="",$K282="",$M282="",$N282="",$Q282="",$R282="",$S282=""),"INCOMPLETO",IF(LEFT($C282,3)="PTT",IF(COUNTIF('Estratos e PTTs'!$B$15:$B$30,$E282)=0,"TIPO PTT INVÁLIDO","OK"),"OK")))))</f>
        <v/>
      </c>
      <c r="X282" s="52"/>
    </row>
    <row r="283" ht="15.75" customHeight="1">
      <c r="A283" s="52"/>
      <c r="B283" s="28" t="str">
        <f>IF($A283="","",IFERROR(VLOOKUP($A283,'Resumo por docente'!$A$8:$B$57,2,FALSE),""))</f>
        <v/>
      </c>
      <c r="C283" s="38"/>
      <c r="D283" s="57"/>
      <c r="E283" s="38"/>
      <c r="F283" s="52"/>
      <c r="G283" s="38"/>
      <c r="H283" s="38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48" t="str">
        <f>IF($A283="","",IF(OR($C283="",$D283="",$E283="",$F283=""),"INCOMPLETO",IF(OR($D283&lt;2021,$D283&gt;2026),"ANO FORA DA JANELA",IF(OR(LOWER($U283)&lt;&gt;"sim",LOWER($V283)&lt;&gt;"sim",$G283="",$H283="",$J283="",$K283="",$M283="",$N283="",$Q283="",$R283="",$S283=""),"INCOMPLETO",IF(LEFT($C283,3)="PTT",IF(COUNTIF('Estratos e PTTs'!$B$15:$B$30,$E283)=0,"TIPO PTT INVÁLIDO","OK"),"OK")))))</f>
        <v/>
      </c>
      <c r="X283" s="52"/>
    </row>
    <row r="284" ht="15.75" customHeight="1">
      <c r="A284" s="52"/>
      <c r="B284" s="28" t="str">
        <f>IF($A284="","",IFERROR(VLOOKUP($A284,'Resumo por docente'!$A$8:$B$57,2,FALSE),""))</f>
        <v/>
      </c>
      <c r="C284" s="38"/>
      <c r="D284" s="57"/>
      <c r="E284" s="38"/>
      <c r="F284" s="52"/>
      <c r="G284" s="38"/>
      <c r="H284" s="38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48" t="str">
        <f>IF($A284="","",IF(OR($C284="",$D284="",$E284="",$F284=""),"INCOMPLETO",IF(OR($D284&lt;2021,$D284&gt;2026),"ANO FORA DA JANELA",IF(OR(LOWER($U284)&lt;&gt;"sim",LOWER($V284)&lt;&gt;"sim",$G284="",$H284="",$J284="",$K284="",$M284="",$N284="",$Q284="",$R284="",$S284=""),"INCOMPLETO",IF(LEFT($C284,3)="PTT",IF(COUNTIF('Estratos e PTTs'!$B$15:$B$30,$E284)=0,"TIPO PTT INVÁLIDO","OK"),"OK")))))</f>
        <v/>
      </c>
      <c r="X284" s="52"/>
    </row>
    <row r="285" ht="15.75" customHeight="1">
      <c r="A285" s="52"/>
      <c r="B285" s="28" t="str">
        <f>IF($A285="","",IFERROR(VLOOKUP($A285,'Resumo por docente'!$A$8:$B$57,2,FALSE),""))</f>
        <v/>
      </c>
      <c r="C285" s="38"/>
      <c r="D285" s="57"/>
      <c r="E285" s="38"/>
      <c r="F285" s="52"/>
      <c r="G285" s="38"/>
      <c r="H285" s="38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48" t="str">
        <f>IF($A285="","",IF(OR($C285="",$D285="",$E285="",$F285=""),"INCOMPLETO",IF(OR($D285&lt;2021,$D285&gt;2026),"ANO FORA DA JANELA",IF(OR(LOWER($U285)&lt;&gt;"sim",LOWER($V285)&lt;&gt;"sim",$G285="",$H285="",$J285="",$K285="",$M285="",$N285="",$Q285="",$R285="",$S285=""),"INCOMPLETO",IF(LEFT($C285,3)="PTT",IF(COUNTIF('Estratos e PTTs'!$B$15:$B$30,$E285)=0,"TIPO PTT INVÁLIDO","OK"),"OK")))))</f>
        <v/>
      </c>
      <c r="X285" s="52"/>
    </row>
    <row r="286" ht="15.75" customHeight="1">
      <c r="A286" s="52"/>
      <c r="B286" s="28" t="str">
        <f>IF($A286="","",IFERROR(VLOOKUP($A286,'Resumo por docente'!$A$8:$B$57,2,FALSE),""))</f>
        <v/>
      </c>
      <c r="C286" s="38"/>
      <c r="D286" s="57"/>
      <c r="E286" s="38"/>
      <c r="F286" s="52"/>
      <c r="G286" s="38"/>
      <c r="H286" s="38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48" t="str">
        <f>IF($A286="","",IF(OR($C286="",$D286="",$E286="",$F286=""),"INCOMPLETO",IF(OR($D286&lt;2021,$D286&gt;2026),"ANO FORA DA JANELA",IF(OR(LOWER($U286)&lt;&gt;"sim",LOWER($V286)&lt;&gt;"sim",$G286="",$H286="",$J286="",$K286="",$M286="",$N286="",$Q286="",$R286="",$S286=""),"INCOMPLETO",IF(LEFT($C286,3)="PTT",IF(COUNTIF('Estratos e PTTs'!$B$15:$B$30,$E286)=0,"TIPO PTT INVÁLIDO","OK"),"OK")))))</f>
        <v/>
      </c>
      <c r="X286" s="52"/>
    </row>
    <row r="287" ht="15.75" customHeight="1">
      <c r="A287" s="52"/>
      <c r="B287" s="28" t="str">
        <f>IF($A287="","",IFERROR(VLOOKUP($A287,'Resumo por docente'!$A$8:$B$57,2,FALSE),""))</f>
        <v/>
      </c>
      <c r="C287" s="38"/>
      <c r="D287" s="57"/>
      <c r="E287" s="38"/>
      <c r="F287" s="52"/>
      <c r="G287" s="38"/>
      <c r="H287" s="38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48" t="str">
        <f>IF($A287="","",IF(OR($C287="",$D287="",$E287="",$F287=""),"INCOMPLETO",IF(OR($D287&lt;2021,$D287&gt;2026),"ANO FORA DA JANELA",IF(OR(LOWER($U287)&lt;&gt;"sim",LOWER($V287)&lt;&gt;"sim",$G287="",$H287="",$J287="",$K287="",$M287="",$N287="",$Q287="",$R287="",$S287=""),"INCOMPLETO",IF(LEFT($C287,3)="PTT",IF(COUNTIF('Estratos e PTTs'!$B$15:$B$30,$E287)=0,"TIPO PTT INVÁLIDO","OK"),"OK")))))</f>
        <v/>
      </c>
      <c r="X287" s="52"/>
    </row>
    <row r="288" ht="15.75" customHeight="1">
      <c r="A288" s="52"/>
      <c r="B288" s="28" t="str">
        <f>IF($A288="","",IFERROR(VLOOKUP($A288,'Resumo por docente'!$A$8:$B$57,2,FALSE),""))</f>
        <v/>
      </c>
      <c r="C288" s="38"/>
      <c r="D288" s="57"/>
      <c r="E288" s="38"/>
      <c r="F288" s="52"/>
      <c r="G288" s="38"/>
      <c r="H288" s="38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48" t="str">
        <f>IF($A288="","",IF(OR($C288="",$D288="",$E288="",$F288=""),"INCOMPLETO",IF(OR($D288&lt;2021,$D288&gt;2026),"ANO FORA DA JANELA",IF(OR(LOWER($U288)&lt;&gt;"sim",LOWER($V288)&lt;&gt;"sim",$G288="",$H288="",$J288="",$K288="",$M288="",$N288="",$Q288="",$R288="",$S288=""),"INCOMPLETO",IF(LEFT($C288,3)="PTT",IF(COUNTIF('Estratos e PTTs'!$B$15:$B$30,$E288)=0,"TIPO PTT INVÁLIDO","OK"),"OK")))))</f>
        <v/>
      </c>
      <c r="X288" s="52"/>
    </row>
    <row r="289" ht="15.75" customHeight="1">
      <c r="A289" s="52"/>
      <c r="B289" s="28" t="str">
        <f>IF($A289="","",IFERROR(VLOOKUP($A289,'Resumo por docente'!$A$8:$B$57,2,FALSE),""))</f>
        <v/>
      </c>
      <c r="C289" s="38"/>
      <c r="D289" s="57"/>
      <c r="E289" s="38"/>
      <c r="F289" s="52"/>
      <c r="G289" s="38"/>
      <c r="H289" s="38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48" t="str">
        <f>IF($A289="","",IF(OR($C289="",$D289="",$E289="",$F289=""),"INCOMPLETO",IF(OR($D289&lt;2021,$D289&gt;2026),"ANO FORA DA JANELA",IF(OR(LOWER($U289)&lt;&gt;"sim",LOWER($V289)&lt;&gt;"sim",$G289="",$H289="",$J289="",$K289="",$M289="",$N289="",$Q289="",$R289="",$S289=""),"INCOMPLETO",IF(LEFT($C289,3)="PTT",IF(COUNTIF('Estratos e PTTs'!$B$15:$B$30,$E289)=0,"TIPO PTT INVÁLIDO","OK"),"OK")))))</f>
        <v/>
      </c>
      <c r="X289" s="52"/>
    </row>
    <row r="290" ht="15.75" customHeight="1">
      <c r="A290" s="52"/>
      <c r="B290" s="28" t="str">
        <f>IF($A290="","",IFERROR(VLOOKUP($A290,'Resumo por docente'!$A$8:$B$57,2,FALSE),""))</f>
        <v/>
      </c>
      <c r="C290" s="38"/>
      <c r="D290" s="57"/>
      <c r="E290" s="38"/>
      <c r="F290" s="52"/>
      <c r="G290" s="38"/>
      <c r="H290" s="38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48" t="str">
        <f>IF($A290="","",IF(OR($C290="",$D290="",$E290="",$F290=""),"INCOMPLETO",IF(OR($D290&lt;2021,$D290&gt;2026),"ANO FORA DA JANELA",IF(OR(LOWER($U290)&lt;&gt;"sim",LOWER($V290)&lt;&gt;"sim",$G290="",$H290="",$J290="",$K290="",$M290="",$N290="",$Q290="",$R290="",$S290=""),"INCOMPLETO",IF(LEFT($C290,3)="PTT",IF(COUNTIF('Estratos e PTTs'!$B$15:$B$30,$E290)=0,"TIPO PTT INVÁLIDO","OK"),"OK")))))</f>
        <v/>
      </c>
      <c r="X290" s="52"/>
    </row>
    <row r="291" ht="15.75" customHeight="1">
      <c r="A291" s="52"/>
      <c r="B291" s="28" t="str">
        <f>IF($A291="","",IFERROR(VLOOKUP($A291,'Resumo por docente'!$A$8:$B$57,2,FALSE),""))</f>
        <v/>
      </c>
      <c r="C291" s="38"/>
      <c r="D291" s="57"/>
      <c r="E291" s="38"/>
      <c r="F291" s="52"/>
      <c r="G291" s="38"/>
      <c r="H291" s="38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48" t="str">
        <f>IF($A291="","",IF(OR($C291="",$D291="",$E291="",$F291=""),"INCOMPLETO",IF(OR($D291&lt;2021,$D291&gt;2026),"ANO FORA DA JANELA",IF(OR(LOWER($U291)&lt;&gt;"sim",LOWER($V291)&lt;&gt;"sim",$G291="",$H291="",$J291="",$K291="",$M291="",$N291="",$Q291="",$R291="",$S291=""),"INCOMPLETO",IF(LEFT($C291,3)="PTT",IF(COUNTIF('Estratos e PTTs'!$B$15:$B$30,$E291)=0,"TIPO PTT INVÁLIDO","OK"),"OK")))))</f>
        <v/>
      </c>
      <c r="X291" s="52"/>
    </row>
    <row r="292" ht="15.75" customHeight="1">
      <c r="A292" s="52"/>
      <c r="B292" s="28" t="str">
        <f>IF($A292="","",IFERROR(VLOOKUP($A292,'Resumo por docente'!$A$8:$B$57,2,FALSE),""))</f>
        <v/>
      </c>
      <c r="C292" s="38"/>
      <c r="D292" s="57"/>
      <c r="E292" s="38"/>
      <c r="F292" s="52"/>
      <c r="G292" s="38"/>
      <c r="H292" s="38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48" t="str">
        <f>IF($A292="","",IF(OR($C292="",$D292="",$E292="",$F292=""),"INCOMPLETO",IF(OR($D292&lt;2021,$D292&gt;2026),"ANO FORA DA JANELA",IF(OR(LOWER($U292)&lt;&gt;"sim",LOWER($V292)&lt;&gt;"sim",$G292="",$H292="",$J292="",$K292="",$M292="",$N292="",$Q292="",$R292="",$S292=""),"INCOMPLETO",IF(LEFT($C292,3)="PTT",IF(COUNTIF('Estratos e PTTs'!$B$15:$B$30,$E292)=0,"TIPO PTT INVÁLIDO","OK"),"OK")))))</f>
        <v/>
      </c>
      <c r="X292" s="52"/>
    </row>
    <row r="293" ht="15.75" customHeight="1">
      <c r="A293" s="52"/>
      <c r="B293" s="28" t="str">
        <f>IF($A293="","",IFERROR(VLOOKUP($A293,'Resumo por docente'!$A$8:$B$57,2,FALSE),""))</f>
        <v/>
      </c>
      <c r="C293" s="38"/>
      <c r="D293" s="57"/>
      <c r="E293" s="38"/>
      <c r="F293" s="52"/>
      <c r="G293" s="38"/>
      <c r="H293" s="38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48" t="str">
        <f>IF($A293="","",IF(OR($C293="",$D293="",$E293="",$F293=""),"INCOMPLETO",IF(OR($D293&lt;2021,$D293&gt;2026),"ANO FORA DA JANELA",IF(OR(LOWER($U293)&lt;&gt;"sim",LOWER($V293)&lt;&gt;"sim",$G293="",$H293="",$J293="",$K293="",$M293="",$N293="",$Q293="",$R293="",$S293=""),"INCOMPLETO",IF(LEFT($C293,3)="PTT",IF(COUNTIF('Estratos e PTTs'!$B$15:$B$30,$E293)=0,"TIPO PTT INVÁLIDO","OK"),"OK")))))</f>
        <v/>
      </c>
      <c r="X293" s="52"/>
    </row>
    <row r="294" ht="15.75" customHeight="1">
      <c r="A294" s="52"/>
      <c r="B294" s="28" t="str">
        <f>IF($A294="","",IFERROR(VLOOKUP($A294,'Resumo por docente'!$A$8:$B$57,2,FALSE),""))</f>
        <v/>
      </c>
      <c r="C294" s="38"/>
      <c r="D294" s="57"/>
      <c r="E294" s="38"/>
      <c r="F294" s="52"/>
      <c r="G294" s="38"/>
      <c r="H294" s="38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48" t="str">
        <f>IF($A294="","",IF(OR($C294="",$D294="",$E294="",$F294=""),"INCOMPLETO",IF(OR($D294&lt;2021,$D294&gt;2026),"ANO FORA DA JANELA",IF(OR(LOWER($U294)&lt;&gt;"sim",LOWER($V294)&lt;&gt;"sim",$G294="",$H294="",$J294="",$K294="",$M294="",$N294="",$Q294="",$R294="",$S294=""),"INCOMPLETO",IF(LEFT($C294,3)="PTT",IF(COUNTIF('Estratos e PTTs'!$B$15:$B$30,$E294)=0,"TIPO PTT INVÁLIDO","OK"),"OK")))))</f>
        <v/>
      </c>
      <c r="X294" s="52"/>
    </row>
    <row r="295" ht="15.75" customHeight="1">
      <c r="A295" s="52"/>
      <c r="B295" s="28" t="str">
        <f>IF($A295="","",IFERROR(VLOOKUP($A295,'Resumo por docente'!$A$8:$B$57,2,FALSE),""))</f>
        <v/>
      </c>
      <c r="C295" s="38"/>
      <c r="D295" s="57"/>
      <c r="E295" s="38"/>
      <c r="F295" s="52"/>
      <c r="G295" s="38"/>
      <c r="H295" s="38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48" t="str">
        <f>IF($A295="","",IF(OR($C295="",$D295="",$E295="",$F295=""),"INCOMPLETO",IF(OR($D295&lt;2021,$D295&gt;2026),"ANO FORA DA JANELA",IF(OR(LOWER($U295)&lt;&gt;"sim",LOWER($V295)&lt;&gt;"sim",$G295="",$H295="",$J295="",$K295="",$M295="",$N295="",$Q295="",$R295="",$S295=""),"INCOMPLETO",IF(LEFT($C295,3)="PTT",IF(COUNTIF('Estratos e PTTs'!$B$15:$B$30,$E295)=0,"TIPO PTT INVÁLIDO","OK"),"OK")))))</f>
        <v/>
      </c>
      <c r="X295" s="52"/>
    </row>
    <row r="296" ht="15.75" customHeight="1">
      <c r="A296" s="52"/>
      <c r="B296" s="28" t="str">
        <f>IF($A296="","",IFERROR(VLOOKUP($A296,'Resumo por docente'!$A$8:$B$57,2,FALSE),""))</f>
        <v/>
      </c>
      <c r="C296" s="38"/>
      <c r="D296" s="57"/>
      <c r="E296" s="38"/>
      <c r="F296" s="52"/>
      <c r="G296" s="38"/>
      <c r="H296" s="38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48" t="str">
        <f>IF($A296="","",IF(OR($C296="",$D296="",$E296="",$F296=""),"INCOMPLETO",IF(OR($D296&lt;2021,$D296&gt;2026),"ANO FORA DA JANELA",IF(OR(LOWER($U296)&lt;&gt;"sim",LOWER($V296)&lt;&gt;"sim",$G296="",$H296="",$J296="",$K296="",$M296="",$N296="",$Q296="",$R296="",$S296=""),"INCOMPLETO",IF(LEFT($C296,3)="PTT",IF(COUNTIF('Estratos e PTTs'!$B$15:$B$30,$E296)=0,"TIPO PTT INVÁLIDO","OK"),"OK")))))</f>
        <v/>
      </c>
      <c r="X296" s="52"/>
    </row>
    <row r="297" ht="15.75" customHeight="1">
      <c r="A297" s="52"/>
      <c r="B297" s="28" t="str">
        <f>IF($A297="","",IFERROR(VLOOKUP($A297,'Resumo por docente'!$A$8:$B$57,2,FALSE),""))</f>
        <v/>
      </c>
      <c r="C297" s="38"/>
      <c r="D297" s="57"/>
      <c r="E297" s="38"/>
      <c r="F297" s="52"/>
      <c r="G297" s="38"/>
      <c r="H297" s="38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48" t="str">
        <f>IF($A297="","",IF(OR($C297="",$D297="",$E297="",$F297=""),"INCOMPLETO",IF(OR($D297&lt;2021,$D297&gt;2026),"ANO FORA DA JANELA",IF(OR(LOWER($U297)&lt;&gt;"sim",LOWER($V297)&lt;&gt;"sim",$G297="",$H297="",$J297="",$K297="",$M297="",$N297="",$Q297="",$R297="",$S297=""),"INCOMPLETO",IF(LEFT($C297,3)="PTT",IF(COUNTIF('Estratos e PTTs'!$B$15:$B$30,$E297)=0,"TIPO PTT INVÁLIDO","OK"),"OK")))))</f>
        <v/>
      </c>
      <c r="X297" s="52"/>
    </row>
    <row r="298" ht="15.75" customHeight="1">
      <c r="A298" s="52"/>
      <c r="B298" s="28" t="str">
        <f>IF($A298="","",IFERROR(VLOOKUP($A298,'Resumo por docente'!$A$8:$B$57,2,FALSE),""))</f>
        <v/>
      </c>
      <c r="C298" s="38"/>
      <c r="D298" s="57"/>
      <c r="E298" s="38"/>
      <c r="F298" s="52"/>
      <c r="G298" s="38"/>
      <c r="H298" s="38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48" t="str">
        <f>IF($A298="","",IF(OR($C298="",$D298="",$E298="",$F298=""),"INCOMPLETO",IF(OR($D298&lt;2021,$D298&gt;2026),"ANO FORA DA JANELA",IF(OR(LOWER($U298)&lt;&gt;"sim",LOWER($V298)&lt;&gt;"sim",$G298="",$H298="",$J298="",$K298="",$M298="",$N298="",$Q298="",$R298="",$S298=""),"INCOMPLETO",IF(LEFT($C298,3)="PTT",IF(COUNTIF('Estratos e PTTs'!$B$15:$B$30,$E298)=0,"TIPO PTT INVÁLIDO","OK"),"OK")))))</f>
        <v/>
      </c>
      <c r="X298" s="52"/>
    </row>
    <row r="299" ht="15.75" customHeight="1">
      <c r="A299" s="52"/>
      <c r="B299" s="28" t="str">
        <f>IF($A299="","",IFERROR(VLOOKUP($A299,'Resumo por docente'!$A$8:$B$57,2,FALSE),""))</f>
        <v/>
      </c>
      <c r="C299" s="38"/>
      <c r="D299" s="57"/>
      <c r="E299" s="38"/>
      <c r="F299" s="52"/>
      <c r="G299" s="38"/>
      <c r="H299" s="38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48" t="str">
        <f>IF($A299="","",IF(OR($C299="",$D299="",$E299="",$F299=""),"INCOMPLETO",IF(OR($D299&lt;2021,$D299&gt;2026),"ANO FORA DA JANELA",IF(OR(LOWER($U299)&lt;&gt;"sim",LOWER($V299)&lt;&gt;"sim",$G299="",$H299="",$J299="",$K299="",$M299="",$N299="",$Q299="",$R299="",$S299=""),"INCOMPLETO",IF(LEFT($C299,3)="PTT",IF(COUNTIF('Estratos e PTTs'!$B$15:$B$30,$E299)=0,"TIPO PTT INVÁLIDO","OK"),"OK")))))</f>
        <v/>
      </c>
      <c r="X299" s="52"/>
    </row>
    <row r="300" ht="15.75" customHeight="1">
      <c r="A300" s="52"/>
      <c r="B300" s="28" t="str">
        <f>IF($A300="","",IFERROR(VLOOKUP($A300,'Resumo por docente'!$A$8:$B$57,2,FALSE),""))</f>
        <v/>
      </c>
      <c r="C300" s="38"/>
      <c r="D300" s="57"/>
      <c r="E300" s="38"/>
      <c r="F300" s="52"/>
      <c r="G300" s="38"/>
      <c r="H300" s="38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48" t="str">
        <f>IF($A300="","",IF(OR($C300="",$D300="",$E300="",$F300=""),"INCOMPLETO",IF(OR($D300&lt;2021,$D300&gt;2026),"ANO FORA DA JANELA",IF(OR(LOWER($U300)&lt;&gt;"sim",LOWER($V300)&lt;&gt;"sim",$G300="",$H300="",$J300="",$K300="",$M300="",$N300="",$Q300="",$R300="",$S300=""),"INCOMPLETO",IF(LEFT($C300,3)="PTT",IF(COUNTIF('Estratos e PTTs'!$B$15:$B$30,$E300)=0,"TIPO PTT INVÁLIDO","OK"),"OK")))))</f>
        <v/>
      </c>
      <c r="X300" s="52"/>
    </row>
    <row r="301" ht="15.75" customHeight="1">
      <c r="A301" s="52"/>
      <c r="B301" s="28" t="str">
        <f>IF($A301="","",IFERROR(VLOOKUP($A301,'Resumo por docente'!$A$8:$B$57,2,FALSE),""))</f>
        <v/>
      </c>
      <c r="C301" s="38"/>
      <c r="D301" s="57"/>
      <c r="E301" s="38"/>
      <c r="F301" s="52"/>
      <c r="G301" s="38"/>
      <c r="H301" s="38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48" t="str">
        <f>IF($A301="","",IF(OR($C301="",$D301="",$E301="",$F301=""),"INCOMPLETO",IF(OR($D301&lt;2021,$D301&gt;2026),"ANO FORA DA JANELA",IF(OR(LOWER($U301)&lt;&gt;"sim",LOWER($V301)&lt;&gt;"sim",$G301="",$H301="",$J301="",$K301="",$M301="",$N301="",$Q301="",$R301="",$S301=""),"INCOMPLETO",IF(LEFT($C301,3)="PTT",IF(COUNTIF('Estratos e PTTs'!$B$15:$B$30,$E301)=0,"TIPO PTT INVÁLIDO","OK"),"OK")))))</f>
        <v/>
      </c>
      <c r="X301" s="52"/>
    </row>
    <row r="302" ht="15.75" customHeight="1">
      <c r="A302" s="52"/>
      <c r="B302" s="28" t="str">
        <f>IF($A302="","",IFERROR(VLOOKUP($A302,'Resumo por docente'!$A$8:$B$57,2,FALSE),""))</f>
        <v/>
      </c>
      <c r="C302" s="38"/>
      <c r="D302" s="57"/>
      <c r="E302" s="38"/>
      <c r="F302" s="52"/>
      <c r="G302" s="38"/>
      <c r="H302" s="38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48" t="str">
        <f>IF($A302="","",IF(OR($C302="",$D302="",$E302="",$F302=""),"INCOMPLETO",IF(OR($D302&lt;2021,$D302&gt;2026),"ANO FORA DA JANELA",IF(OR(LOWER($U302)&lt;&gt;"sim",LOWER($V302)&lt;&gt;"sim",$G302="",$H302="",$J302="",$K302="",$M302="",$N302="",$Q302="",$R302="",$S302=""),"INCOMPLETO",IF(LEFT($C302,3)="PTT",IF(COUNTIF('Estratos e PTTs'!$B$15:$B$30,$E302)=0,"TIPO PTT INVÁLIDO","OK"),"OK")))))</f>
        <v/>
      </c>
      <c r="X302" s="52"/>
    </row>
    <row r="303" ht="15.75" customHeight="1">
      <c r="A303" s="52"/>
      <c r="B303" s="28" t="str">
        <f>IF($A303="","",IFERROR(VLOOKUP($A303,'Resumo por docente'!$A$8:$B$57,2,FALSE),""))</f>
        <v/>
      </c>
      <c r="C303" s="38"/>
      <c r="D303" s="57"/>
      <c r="E303" s="38"/>
      <c r="F303" s="52"/>
      <c r="G303" s="38"/>
      <c r="H303" s="38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48" t="str">
        <f>IF($A303="","",IF(OR($C303="",$D303="",$E303="",$F303=""),"INCOMPLETO",IF(OR($D303&lt;2021,$D303&gt;2026),"ANO FORA DA JANELA",IF(OR(LOWER($U303)&lt;&gt;"sim",LOWER($V303)&lt;&gt;"sim",$G303="",$H303="",$J303="",$K303="",$M303="",$N303="",$Q303="",$R303="",$S303=""),"INCOMPLETO",IF(LEFT($C303,3)="PTT",IF(COUNTIF('Estratos e PTTs'!$B$15:$B$30,$E303)=0,"TIPO PTT INVÁLIDO","OK"),"OK")))))</f>
        <v/>
      </c>
      <c r="X303" s="52"/>
    </row>
    <row r="304" ht="15.75" customHeight="1">
      <c r="A304" s="52"/>
      <c r="B304" s="28" t="str">
        <f>IF($A304="","",IFERROR(VLOOKUP($A304,'Resumo por docente'!$A$8:$B$57,2,FALSE),""))</f>
        <v/>
      </c>
      <c r="C304" s="38"/>
      <c r="D304" s="57"/>
      <c r="E304" s="38"/>
      <c r="F304" s="52"/>
      <c r="G304" s="38"/>
      <c r="H304" s="38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48" t="str">
        <f>IF($A304="","",IF(OR($C304="",$D304="",$E304="",$F304=""),"INCOMPLETO",IF(OR($D304&lt;2021,$D304&gt;2026),"ANO FORA DA JANELA",IF(OR(LOWER($U304)&lt;&gt;"sim",LOWER($V304)&lt;&gt;"sim",$G304="",$H304="",$J304="",$K304="",$M304="",$N304="",$Q304="",$R304="",$S304=""),"INCOMPLETO",IF(LEFT($C304,3)="PTT",IF(COUNTIF('Estratos e PTTs'!$B$15:$B$30,$E304)=0,"TIPO PTT INVÁLIDO","OK"),"OK")))))</f>
        <v/>
      </c>
      <c r="X304" s="52"/>
    </row>
    <row r="305" ht="15.75" customHeight="1">
      <c r="A305" s="52"/>
      <c r="B305" s="28" t="str">
        <f>IF($A305="","",IFERROR(VLOOKUP($A305,'Resumo por docente'!$A$8:$B$57,2,FALSE),""))</f>
        <v/>
      </c>
      <c r="C305" s="38"/>
      <c r="D305" s="57"/>
      <c r="E305" s="38"/>
      <c r="F305" s="52"/>
      <c r="G305" s="38"/>
      <c r="H305" s="38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48" t="str">
        <f>IF($A305="","",IF(OR($C305="",$D305="",$E305="",$F305=""),"INCOMPLETO",IF(OR($D305&lt;2021,$D305&gt;2026),"ANO FORA DA JANELA",IF(OR(LOWER($U305)&lt;&gt;"sim",LOWER($V305)&lt;&gt;"sim",$G305="",$H305="",$J305="",$K305="",$M305="",$N305="",$Q305="",$R305="",$S305=""),"INCOMPLETO",IF(LEFT($C305,3)="PTT",IF(COUNTIF('Estratos e PTTs'!$B$15:$B$30,$E305)=0,"TIPO PTT INVÁLIDO","OK"),"OK")))))</f>
        <v/>
      </c>
      <c r="X305" s="52"/>
    </row>
    <row r="306" ht="15.75" customHeight="1">
      <c r="A306" s="52"/>
      <c r="B306" s="28" t="str">
        <f>IF($A306="","",IFERROR(VLOOKUP($A306,'Resumo por docente'!$A$8:$B$57,2,FALSE),""))</f>
        <v/>
      </c>
      <c r="C306" s="38"/>
      <c r="D306" s="57"/>
      <c r="E306" s="38"/>
      <c r="F306" s="52"/>
      <c r="G306" s="38"/>
      <c r="H306" s="38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48" t="str">
        <f>IF($A306="","",IF(OR($C306="",$D306="",$E306="",$F306=""),"INCOMPLETO",IF(OR($D306&lt;2021,$D306&gt;2026),"ANO FORA DA JANELA",IF(OR(LOWER($U306)&lt;&gt;"sim",LOWER($V306)&lt;&gt;"sim",$G306="",$H306="",$J306="",$K306="",$M306="",$N306="",$Q306="",$R306="",$S306=""),"INCOMPLETO",IF(LEFT($C306,3)="PTT",IF(COUNTIF('Estratos e PTTs'!$B$15:$B$30,$E306)=0,"TIPO PTT INVÁLIDO","OK"),"OK")))))</f>
        <v/>
      </c>
      <c r="X306" s="52"/>
    </row>
    <row r="307" ht="15.75" customHeight="1">
      <c r="A307" s="52"/>
      <c r="B307" s="28" t="str">
        <f>IF($A307="","",IFERROR(VLOOKUP($A307,'Resumo por docente'!$A$8:$B$57,2,FALSE),""))</f>
        <v/>
      </c>
      <c r="C307" s="38"/>
      <c r="D307" s="57"/>
      <c r="E307" s="38"/>
      <c r="F307" s="52"/>
      <c r="G307" s="38"/>
      <c r="H307" s="38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48" t="str">
        <f>IF($A307="","",IF(OR($C307="",$D307="",$E307="",$F307=""),"INCOMPLETO",IF(OR($D307&lt;2021,$D307&gt;2026),"ANO FORA DA JANELA",IF(OR(LOWER($U307)&lt;&gt;"sim",LOWER($V307)&lt;&gt;"sim",$G307="",$H307="",$J307="",$K307="",$M307="",$N307="",$Q307="",$R307="",$S307=""),"INCOMPLETO",IF(LEFT($C307,3)="PTT",IF(COUNTIF('Estratos e PTTs'!$B$15:$B$30,$E307)=0,"TIPO PTT INVÁLIDO","OK"),"OK")))))</f>
        <v/>
      </c>
      <c r="X307" s="52"/>
    </row>
    <row r="308" ht="15.75" customHeight="1">
      <c r="A308" s="52"/>
      <c r="B308" s="28" t="str">
        <f>IF($A308="","",IFERROR(VLOOKUP($A308,'Resumo por docente'!$A$8:$B$57,2,FALSE),""))</f>
        <v/>
      </c>
      <c r="C308" s="38"/>
      <c r="D308" s="57"/>
      <c r="E308" s="38"/>
      <c r="F308" s="52"/>
      <c r="G308" s="38"/>
      <c r="H308" s="38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48" t="str">
        <f>IF($A308="","",IF(OR($C308="",$D308="",$E308="",$F308=""),"INCOMPLETO",IF(OR($D308&lt;2021,$D308&gt;2026),"ANO FORA DA JANELA",IF(OR(LOWER($U308)&lt;&gt;"sim",LOWER($V308)&lt;&gt;"sim",$G308="",$H308="",$J308="",$K308="",$M308="",$N308="",$Q308="",$R308="",$S308=""),"INCOMPLETO",IF(LEFT($C308,3)="PTT",IF(COUNTIF('Estratos e PTTs'!$B$15:$B$30,$E308)=0,"TIPO PTT INVÁLIDO","OK"),"OK")))))</f>
        <v/>
      </c>
      <c r="X308" s="52"/>
    </row>
    <row r="309" ht="15.75" customHeight="1">
      <c r="A309" s="52"/>
      <c r="B309" s="28" t="str">
        <f>IF($A309="","",IFERROR(VLOOKUP($A309,'Resumo por docente'!$A$8:$B$57,2,FALSE),""))</f>
        <v/>
      </c>
      <c r="C309" s="38"/>
      <c r="D309" s="57"/>
      <c r="E309" s="38"/>
      <c r="F309" s="52"/>
      <c r="G309" s="38"/>
      <c r="H309" s="38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48" t="str">
        <f>IF($A309="","",IF(OR($C309="",$D309="",$E309="",$F309=""),"INCOMPLETO",IF(OR($D309&lt;2021,$D309&gt;2026),"ANO FORA DA JANELA",IF(OR(LOWER($U309)&lt;&gt;"sim",LOWER($V309)&lt;&gt;"sim",$G309="",$H309="",$J309="",$K309="",$M309="",$N309="",$Q309="",$R309="",$S309=""),"INCOMPLETO",IF(LEFT($C309,3)="PTT",IF(COUNTIF('Estratos e PTTs'!$B$15:$B$30,$E309)=0,"TIPO PTT INVÁLIDO","OK"),"OK")))))</f>
        <v/>
      </c>
      <c r="X309" s="52"/>
    </row>
    <row r="310" ht="15.75" customHeight="1">
      <c r="A310" s="52"/>
      <c r="B310" s="28" t="str">
        <f>IF($A310="","",IFERROR(VLOOKUP($A310,'Resumo por docente'!$A$8:$B$57,2,FALSE),""))</f>
        <v/>
      </c>
      <c r="C310" s="38"/>
      <c r="D310" s="57"/>
      <c r="E310" s="38"/>
      <c r="F310" s="52"/>
      <c r="G310" s="38"/>
      <c r="H310" s="38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48" t="str">
        <f>IF($A310="","",IF(OR($C310="",$D310="",$E310="",$F310=""),"INCOMPLETO",IF(OR($D310&lt;2021,$D310&gt;2026),"ANO FORA DA JANELA",IF(OR(LOWER($U310)&lt;&gt;"sim",LOWER($V310)&lt;&gt;"sim",$G310="",$H310="",$J310="",$K310="",$M310="",$N310="",$Q310="",$R310="",$S310=""),"INCOMPLETO",IF(LEFT($C310,3)="PTT",IF(COUNTIF('Estratos e PTTs'!$B$15:$B$30,$E310)=0,"TIPO PTT INVÁLIDO","OK"),"OK")))))</f>
        <v/>
      </c>
      <c r="X310" s="52"/>
    </row>
    <row r="311" ht="15.75" customHeight="1">
      <c r="A311" s="52"/>
      <c r="B311" s="28" t="str">
        <f>IF($A311="","",IFERROR(VLOOKUP($A311,'Resumo por docente'!$A$8:$B$57,2,FALSE),""))</f>
        <v/>
      </c>
      <c r="C311" s="38"/>
      <c r="D311" s="57"/>
      <c r="E311" s="38"/>
      <c r="F311" s="52"/>
      <c r="G311" s="38"/>
      <c r="H311" s="38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48" t="str">
        <f>IF($A311="","",IF(OR($C311="",$D311="",$E311="",$F311=""),"INCOMPLETO",IF(OR($D311&lt;2021,$D311&gt;2026),"ANO FORA DA JANELA",IF(OR(LOWER($U311)&lt;&gt;"sim",LOWER($V311)&lt;&gt;"sim",$G311="",$H311="",$J311="",$K311="",$M311="",$N311="",$Q311="",$R311="",$S311=""),"INCOMPLETO",IF(LEFT($C311,3)="PTT",IF(COUNTIF('Estratos e PTTs'!$B$15:$B$30,$E311)=0,"TIPO PTT INVÁLIDO","OK"),"OK")))))</f>
        <v/>
      </c>
      <c r="X311" s="52"/>
    </row>
    <row r="312" ht="15.75" customHeight="1">
      <c r="A312" s="52"/>
      <c r="B312" s="28" t="str">
        <f>IF($A312="","",IFERROR(VLOOKUP($A312,'Resumo por docente'!$A$8:$B$57,2,FALSE),""))</f>
        <v/>
      </c>
      <c r="C312" s="38"/>
      <c r="D312" s="57"/>
      <c r="E312" s="38"/>
      <c r="F312" s="52"/>
      <c r="G312" s="38"/>
      <c r="H312" s="38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48" t="str">
        <f>IF($A312="","",IF(OR($C312="",$D312="",$E312="",$F312=""),"INCOMPLETO",IF(OR($D312&lt;2021,$D312&gt;2026),"ANO FORA DA JANELA",IF(OR(LOWER($U312)&lt;&gt;"sim",LOWER($V312)&lt;&gt;"sim",$G312="",$H312="",$J312="",$K312="",$M312="",$N312="",$Q312="",$R312="",$S312=""),"INCOMPLETO",IF(LEFT($C312,3)="PTT",IF(COUNTIF('Estratos e PTTs'!$B$15:$B$30,$E312)=0,"TIPO PTT INVÁLIDO","OK"),"OK")))))</f>
        <v/>
      </c>
      <c r="X312" s="52"/>
    </row>
    <row r="313" ht="15.75" customHeight="1">
      <c r="A313" s="52"/>
      <c r="B313" s="28" t="str">
        <f>IF($A313="","",IFERROR(VLOOKUP($A313,'Resumo por docente'!$A$8:$B$57,2,FALSE),""))</f>
        <v/>
      </c>
      <c r="C313" s="38"/>
      <c r="D313" s="57"/>
      <c r="E313" s="38"/>
      <c r="F313" s="52"/>
      <c r="G313" s="38"/>
      <c r="H313" s="38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48" t="str">
        <f>IF($A313="","",IF(OR($C313="",$D313="",$E313="",$F313=""),"INCOMPLETO",IF(OR($D313&lt;2021,$D313&gt;2026),"ANO FORA DA JANELA",IF(OR(LOWER($U313)&lt;&gt;"sim",LOWER($V313)&lt;&gt;"sim",$G313="",$H313="",$J313="",$K313="",$M313="",$N313="",$Q313="",$R313="",$S313=""),"INCOMPLETO",IF(LEFT($C313,3)="PTT",IF(COUNTIF('Estratos e PTTs'!$B$15:$B$30,$E313)=0,"TIPO PTT INVÁLIDO","OK"),"OK")))))</f>
        <v/>
      </c>
      <c r="X313" s="52"/>
    </row>
    <row r="314" ht="15.75" customHeight="1">
      <c r="A314" s="52"/>
      <c r="B314" s="28" t="str">
        <f>IF($A314="","",IFERROR(VLOOKUP($A314,'Resumo por docente'!$A$8:$B$57,2,FALSE),""))</f>
        <v/>
      </c>
      <c r="C314" s="38"/>
      <c r="D314" s="57"/>
      <c r="E314" s="38"/>
      <c r="F314" s="52"/>
      <c r="G314" s="38"/>
      <c r="H314" s="38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48" t="str">
        <f>IF($A314="","",IF(OR($C314="",$D314="",$E314="",$F314=""),"INCOMPLETO",IF(OR($D314&lt;2021,$D314&gt;2026),"ANO FORA DA JANELA",IF(OR(LOWER($U314)&lt;&gt;"sim",LOWER($V314)&lt;&gt;"sim",$G314="",$H314="",$J314="",$K314="",$M314="",$N314="",$Q314="",$R314="",$S314=""),"INCOMPLETO",IF(LEFT($C314,3)="PTT",IF(COUNTIF('Estratos e PTTs'!$B$15:$B$30,$E314)=0,"TIPO PTT INVÁLIDO","OK"),"OK")))))</f>
        <v/>
      </c>
      <c r="X314" s="52"/>
    </row>
    <row r="315" ht="15.75" customHeight="1">
      <c r="A315" s="52"/>
      <c r="B315" s="28" t="str">
        <f>IF($A315="","",IFERROR(VLOOKUP($A315,'Resumo por docente'!$A$8:$B$57,2,FALSE),""))</f>
        <v/>
      </c>
      <c r="C315" s="38"/>
      <c r="D315" s="57"/>
      <c r="E315" s="38"/>
      <c r="F315" s="52"/>
      <c r="G315" s="38"/>
      <c r="H315" s="38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48" t="str">
        <f>IF($A315="","",IF(OR($C315="",$D315="",$E315="",$F315=""),"INCOMPLETO",IF(OR($D315&lt;2021,$D315&gt;2026),"ANO FORA DA JANELA",IF(OR(LOWER($U315)&lt;&gt;"sim",LOWER($V315)&lt;&gt;"sim",$G315="",$H315="",$J315="",$K315="",$M315="",$N315="",$Q315="",$R315="",$S315=""),"INCOMPLETO",IF(LEFT($C315,3)="PTT",IF(COUNTIF('Estratos e PTTs'!$B$15:$B$30,$E315)=0,"TIPO PTT INVÁLIDO","OK"),"OK")))))</f>
        <v/>
      </c>
      <c r="X315" s="52"/>
    </row>
    <row r="316" ht="15.75" customHeight="1">
      <c r="A316" s="52"/>
      <c r="B316" s="28" t="str">
        <f>IF($A316="","",IFERROR(VLOOKUP($A316,'Resumo por docente'!$A$8:$B$57,2,FALSE),""))</f>
        <v/>
      </c>
      <c r="C316" s="38"/>
      <c r="D316" s="57"/>
      <c r="E316" s="38"/>
      <c r="F316" s="52"/>
      <c r="G316" s="38"/>
      <c r="H316" s="38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48" t="str">
        <f>IF($A316="","",IF(OR($C316="",$D316="",$E316="",$F316=""),"INCOMPLETO",IF(OR($D316&lt;2021,$D316&gt;2026),"ANO FORA DA JANELA",IF(OR(LOWER($U316)&lt;&gt;"sim",LOWER($V316)&lt;&gt;"sim",$G316="",$H316="",$J316="",$K316="",$M316="",$N316="",$Q316="",$R316="",$S316=""),"INCOMPLETO",IF(LEFT($C316,3)="PTT",IF(COUNTIF('Estratos e PTTs'!$B$15:$B$30,$E316)=0,"TIPO PTT INVÁLIDO","OK"),"OK")))))</f>
        <v/>
      </c>
      <c r="X316" s="52"/>
    </row>
    <row r="317" ht="15.75" customHeight="1">
      <c r="A317" s="52"/>
      <c r="B317" s="28" t="str">
        <f>IF($A317="","",IFERROR(VLOOKUP($A317,'Resumo por docente'!$A$8:$B$57,2,FALSE),""))</f>
        <v/>
      </c>
      <c r="C317" s="38"/>
      <c r="D317" s="57"/>
      <c r="E317" s="38"/>
      <c r="F317" s="52"/>
      <c r="G317" s="38"/>
      <c r="H317" s="38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48" t="str">
        <f>IF($A317="","",IF(OR($C317="",$D317="",$E317="",$F317=""),"INCOMPLETO",IF(OR($D317&lt;2021,$D317&gt;2026),"ANO FORA DA JANELA",IF(OR(LOWER($U317)&lt;&gt;"sim",LOWER($V317)&lt;&gt;"sim",$G317="",$H317="",$J317="",$K317="",$M317="",$N317="",$Q317="",$R317="",$S317=""),"INCOMPLETO",IF(LEFT($C317,3)="PTT",IF(COUNTIF('Estratos e PTTs'!$B$15:$B$30,$E317)=0,"TIPO PTT INVÁLIDO","OK"),"OK")))))</f>
        <v/>
      </c>
      <c r="X317" s="52"/>
    </row>
    <row r="318" ht="15.75" customHeight="1">
      <c r="A318" s="52"/>
      <c r="B318" s="28" t="str">
        <f>IF($A318="","",IFERROR(VLOOKUP($A318,'Resumo por docente'!$A$8:$B$57,2,FALSE),""))</f>
        <v/>
      </c>
      <c r="C318" s="38"/>
      <c r="D318" s="57"/>
      <c r="E318" s="38"/>
      <c r="F318" s="52"/>
      <c r="G318" s="38"/>
      <c r="H318" s="38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48" t="str">
        <f>IF($A318="","",IF(OR($C318="",$D318="",$E318="",$F318=""),"INCOMPLETO",IF(OR($D318&lt;2021,$D318&gt;2026),"ANO FORA DA JANELA",IF(OR(LOWER($U318)&lt;&gt;"sim",LOWER($V318)&lt;&gt;"sim",$G318="",$H318="",$J318="",$K318="",$M318="",$N318="",$Q318="",$R318="",$S318=""),"INCOMPLETO",IF(LEFT($C318,3)="PTT",IF(COUNTIF('Estratos e PTTs'!$B$15:$B$30,$E318)=0,"TIPO PTT INVÁLIDO","OK"),"OK")))))</f>
        <v/>
      </c>
      <c r="X318" s="52"/>
    </row>
    <row r="319" ht="15.75" customHeight="1">
      <c r="A319" s="52"/>
      <c r="B319" s="28" t="str">
        <f>IF($A319="","",IFERROR(VLOOKUP($A319,'Resumo por docente'!$A$8:$B$57,2,FALSE),""))</f>
        <v/>
      </c>
      <c r="C319" s="38"/>
      <c r="D319" s="57"/>
      <c r="E319" s="38"/>
      <c r="F319" s="52"/>
      <c r="G319" s="38"/>
      <c r="H319" s="38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48" t="str">
        <f>IF($A319="","",IF(OR($C319="",$D319="",$E319="",$F319=""),"INCOMPLETO",IF(OR($D319&lt;2021,$D319&gt;2026),"ANO FORA DA JANELA",IF(OR(LOWER($U319)&lt;&gt;"sim",LOWER($V319)&lt;&gt;"sim",$G319="",$H319="",$J319="",$K319="",$M319="",$N319="",$Q319="",$R319="",$S319=""),"INCOMPLETO",IF(LEFT($C319,3)="PTT",IF(COUNTIF('Estratos e PTTs'!$B$15:$B$30,$E319)=0,"TIPO PTT INVÁLIDO","OK"),"OK")))))</f>
        <v/>
      </c>
      <c r="X319" s="52"/>
    </row>
    <row r="320" ht="15.75" customHeight="1">
      <c r="A320" s="52"/>
      <c r="B320" s="28" t="str">
        <f>IF($A320="","",IFERROR(VLOOKUP($A320,'Resumo por docente'!$A$8:$B$57,2,FALSE),""))</f>
        <v/>
      </c>
      <c r="C320" s="38"/>
      <c r="D320" s="57"/>
      <c r="E320" s="38"/>
      <c r="F320" s="52"/>
      <c r="G320" s="38"/>
      <c r="H320" s="38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48" t="str">
        <f>IF($A320="","",IF(OR($C320="",$D320="",$E320="",$F320=""),"INCOMPLETO",IF(OR($D320&lt;2021,$D320&gt;2026),"ANO FORA DA JANELA",IF(OR(LOWER($U320)&lt;&gt;"sim",LOWER($V320)&lt;&gt;"sim",$G320="",$H320="",$J320="",$K320="",$M320="",$N320="",$Q320="",$R320="",$S320=""),"INCOMPLETO",IF(LEFT($C320,3)="PTT",IF(COUNTIF('Estratos e PTTs'!$B$15:$B$30,$E320)=0,"TIPO PTT INVÁLIDO","OK"),"OK")))))</f>
        <v/>
      </c>
      <c r="X320" s="52"/>
    </row>
    <row r="321" ht="15.75" customHeight="1">
      <c r="A321" s="52"/>
      <c r="B321" s="28" t="str">
        <f>IF($A321="","",IFERROR(VLOOKUP($A321,'Resumo por docente'!$A$8:$B$57,2,FALSE),""))</f>
        <v/>
      </c>
      <c r="C321" s="38"/>
      <c r="D321" s="57"/>
      <c r="E321" s="38"/>
      <c r="F321" s="52"/>
      <c r="G321" s="38"/>
      <c r="H321" s="38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48" t="str">
        <f>IF($A321="","",IF(OR($C321="",$D321="",$E321="",$F321=""),"INCOMPLETO",IF(OR($D321&lt;2021,$D321&gt;2026),"ANO FORA DA JANELA",IF(OR(LOWER($U321)&lt;&gt;"sim",LOWER($V321)&lt;&gt;"sim",$G321="",$H321="",$J321="",$K321="",$M321="",$N321="",$Q321="",$R321="",$S321=""),"INCOMPLETO",IF(LEFT($C321,3)="PTT",IF(COUNTIF('Estratos e PTTs'!$B$15:$B$30,$E321)=0,"TIPO PTT INVÁLIDO","OK"),"OK")))))</f>
        <v/>
      </c>
      <c r="X321" s="52"/>
    </row>
    <row r="322" ht="15.75" customHeight="1">
      <c r="A322" s="52"/>
      <c r="B322" s="28" t="str">
        <f>IF($A322="","",IFERROR(VLOOKUP($A322,'Resumo por docente'!$A$8:$B$57,2,FALSE),""))</f>
        <v/>
      </c>
      <c r="C322" s="38"/>
      <c r="D322" s="57"/>
      <c r="E322" s="38"/>
      <c r="F322" s="52"/>
      <c r="G322" s="38"/>
      <c r="H322" s="38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48" t="str">
        <f>IF($A322="","",IF(OR($C322="",$D322="",$E322="",$F322=""),"INCOMPLETO",IF(OR($D322&lt;2021,$D322&gt;2026),"ANO FORA DA JANELA",IF(OR(LOWER($U322)&lt;&gt;"sim",LOWER($V322)&lt;&gt;"sim",$G322="",$H322="",$J322="",$K322="",$M322="",$N322="",$Q322="",$R322="",$S322=""),"INCOMPLETO",IF(LEFT($C322,3)="PTT",IF(COUNTIF('Estratos e PTTs'!$B$15:$B$30,$E322)=0,"TIPO PTT INVÁLIDO","OK"),"OK")))))</f>
        <v/>
      </c>
      <c r="X322" s="52"/>
    </row>
    <row r="323" ht="15.75" customHeight="1">
      <c r="A323" s="52"/>
      <c r="B323" s="28" t="str">
        <f>IF($A323="","",IFERROR(VLOOKUP($A323,'Resumo por docente'!$A$8:$B$57,2,FALSE),""))</f>
        <v/>
      </c>
      <c r="C323" s="38"/>
      <c r="D323" s="57"/>
      <c r="E323" s="38"/>
      <c r="F323" s="52"/>
      <c r="G323" s="38"/>
      <c r="H323" s="38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48" t="str">
        <f>IF($A323="","",IF(OR($C323="",$D323="",$E323="",$F323=""),"INCOMPLETO",IF(OR($D323&lt;2021,$D323&gt;2026),"ANO FORA DA JANELA",IF(OR(LOWER($U323)&lt;&gt;"sim",LOWER($V323)&lt;&gt;"sim",$G323="",$H323="",$J323="",$K323="",$M323="",$N323="",$Q323="",$R323="",$S323=""),"INCOMPLETO",IF(LEFT($C323,3)="PTT",IF(COUNTIF('Estratos e PTTs'!$B$15:$B$30,$E323)=0,"TIPO PTT INVÁLIDO","OK"),"OK")))))</f>
        <v/>
      </c>
      <c r="X323" s="52"/>
    </row>
    <row r="324" ht="15.75" customHeight="1">
      <c r="A324" s="52"/>
      <c r="B324" s="28" t="str">
        <f>IF($A324="","",IFERROR(VLOOKUP($A324,'Resumo por docente'!$A$8:$B$57,2,FALSE),""))</f>
        <v/>
      </c>
      <c r="C324" s="38"/>
      <c r="D324" s="57"/>
      <c r="E324" s="38"/>
      <c r="F324" s="52"/>
      <c r="G324" s="38"/>
      <c r="H324" s="38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48" t="str">
        <f>IF($A324="","",IF(OR($C324="",$D324="",$E324="",$F324=""),"INCOMPLETO",IF(OR($D324&lt;2021,$D324&gt;2026),"ANO FORA DA JANELA",IF(OR(LOWER($U324)&lt;&gt;"sim",LOWER($V324)&lt;&gt;"sim",$G324="",$H324="",$J324="",$K324="",$M324="",$N324="",$Q324="",$R324="",$S324=""),"INCOMPLETO",IF(LEFT($C324,3)="PTT",IF(COUNTIF('Estratos e PTTs'!$B$15:$B$30,$E324)=0,"TIPO PTT INVÁLIDO","OK"),"OK")))))</f>
        <v/>
      </c>
      <c r="X324" s="52"/>
    </row>
    <row r="325" ht="15.75" customHeight="1">
      <c r="A325" s="52"/>
      <c r="B325" s="28" t="str">
        <f>IF($A325="","",IFERROR(VLOOKUP($A325,'Resumo por docente'!$A$8:$B$57,2,FALSE),""))</f>
        <v/>
      </c>
      <c r="C325" s="38"/>
      <c r="D325" s="57"/>
      <c r="E325" s="38"/>
      <c r="F325" s="52"/>
      <c r="G325" s="38"/>
      <c r="H325" s="38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48" t="str">
        <f>IF($A325="","",IF(OR($C325="",$D325="",$E325="",$F325=""),"INCOMPLETO",IF(OR($D325&lt;2021,$D325&gt;2026),"ANO FORA DA JANELA",IF(OR(LOWER($U325)&lt;&gt;"sim",LOWER($V325)&lt;&gt;"sim",$G325="",$H325="",$J325="",$K325="",$M325="",$N325="",$Q325="",$R325="",$S325=""),"INCOMPLETO",IF(LEFT($C325,3)="PTT",IF(COUNTIF('Estratos e PTTs'!$B$15:$B$30,$E325)=0,"TIPO PTT INVÁLIDO","OK"),"OK")))))</f>
        <v/>
      </c>
      <c r="X325" s="52"/>
    </row>
    <row r="326" ht="15.75" customHeight="1">
      <c r="A326" s="52"/>
      <c r="B326" s="28" t="str">
        <f>IF($A326="","",IFERROR(VLOOKUP($A326,'Resumo por docente'!$A$8:$B$57,2,FALSE),""))</f>
        <v/>
      </c>
      <c r="C326" s="38"/>
      <c r="D326" s="57"/>
      <c r="E326" s="38"/>
      <c r="F326" s="52"/>
      <c r="G326" s="38"/>
      <c r="H326" s="38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48" t="str">
        <f>IF($A326="","",IF(OR($C326="",$D326="",$E326="",$F326=""),"INCOMPLETO",IF(OR($D326&lt;2021,$D326&gt;2026),"ANO FORA DA JANELA",IF(OR(LOWER($U326)&lt;&gt;"sim",LOWER($V326)&lt;&gt;"sim",$G326="",$H326="",$J326="",$K326="",$M326="",$N326="",$Q326="",$R326="",$S326=""),"INCOMPLETO",IF(LEFT($C326,3)="PTT",IF(COUNTIF('Estratos e PTTs'!$B$15:$B$30,$E326)=0,"TIPO PTT INVÁLIDO","OK"),"OK")))))</f>
        <v/>
      </c>
      <c r="X326" s="52"/>
    </row>
    <row r="327" ht="15.75" customHeight="1">
      <c r="A327" s="52"/>
      <c r="B327" s="28" t="str">
        <f>IF($A327="","",IFERROR(VLOOKUP($A327,'Resumo por docente'!$A$8:$B$57,2,FALSE),""))</f>
        <v/>
      </c>
      <c r="C327" s="38"/>
      <c r="D327" s="57"/>
      <c r="E327" s="38"/>
      <c r="F327" s="52"/>
      <c r="G327" s="38"/>
      <c r="H327" s="38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48" t="str">
        <f>IF($A327="","",IF(OR($C327="",$D327="",$E327="",$F327=""),"INCOMPLETO",IF(OR($D327&lt;2021,$D327&gt;2026),"ANO FORA DA JANELA",IF(OR(LOWER($U327)&lt;&gt;"sim",LOWER($V327)&lt;&gt;"sim",$G327="",$H327="",$J327="",$K327="",$M327="",$N327="",$Q327="",$R327="",$S327=""),"INCOMPLETO",IF(LEFT($C327,3)="PTT",IF(COUNTIF('Estratos e PTTs'!$B$15:$B$30,$E327)=0,"TIPO PTT INVÁLIDO","OK"),"OK")))))</f>
        <v/>
      </c>
      <c r="X327" s="52"/>
    </row>
    <row r="328" ht="15.75" customHeight="1">
      <c r="A328" s="52"/>
      <c r="B328" s="28" t="str">
        <f>IF($A328="","",IFERROR(VLOOKUP($A328,'Resumo por docente'!$A$8:$B$57,2,FALSE),""))</f>
        <v/>
      </c>
      <c r="C328" s="38"/>
      <c r="D328" s="57"/>
      <c r="E328" s="38"/>
      <c r="F328" s="52"/>
      <c r="G328" s="38"/>
      <c r="H328" s="38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48" t="str">
        <f>IF($A328="","",IF(OR($C328="",$D328="",$E328="",$F328=""),"INCOMPLETO",IF(OR($D328&lt;2021,$D328&gt;2026),"ANO FORA DA JANELA",IF(OR(LOWER($U328)&lt;&gt;"sim",LOWER($V328)&lt;&gt;"sim",$G328="",$H328="",$J328="",$K328="",$M328="",$N328="",$Q328="",$R328="",$S328=""),"INCOMPLETO",IF(LEFT($C328,3)="PTT",IF(COUNTIF('Estratos e PTTs'!$B$15:$B$30,$E328)=0,"TIPO PTT INVÁLIDO","OK"),"OK")))))</f>
        <v/>
      </c>
      <c r="X328" s="52"/>
    </row>
    <row r="329" ht="15.75" customHeight="1">
      <c r="A329" s="52"/>
      <c r="B329" s="28" t="str">
        <f>IF($A329="","",IFERROR(VLOOKUP($A329,'Resumo por docente'!$A$8:$B$57,2,FALSE),""))</f>
        <v/>
      </c>
      <c r="C329" s="38"/>
      <c r="D329" s="57"/>
      <c r="E329" s="38"/>
      <c r="F329" s="52"/>
      <c r="G329" s="38"/>
      <c r="H329" s="38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48" t="str">
        <f>IF($A329="","",IF(OR($C329="",$D329="",$E329="",$F329=""),"INCOMPLETO",IF(OR($D329&lt;2021,$D329&gt;2026),"ANO FORA DA JANELA",IF(OR(LOWER($U329)&lt;&gt;"sim",LOWER($V329)&lt;&gt;"sim",$G329="",$H329="",$J329="",$K329="",$M329="",$N329="",$Q329="",$R329="",$S329=""),"INCOMPLETO",IF(LEFT($C329,3)="PTT",IF(COUNTIF('Estratos e PTTs'!$B$15:$B$30,$E329)=0,"TIPO PTT INVÁLIDO","OK"),"OK")))))</f>
        <v/>
      </c>
      <c r="X329" s="52"/>
    </row>
    <row r="330" ht="15.75" customHeight="1">
      <c r="A330" s="52"/>
      <c r="B330" s="28" t="str">
        <f>IF($A330="","",IFERROR(VLOOKUP($A330,'Resumo por docente'!$A$8:$B$57,2,FALSE),""))</f>
        <v/>
      </c>
      <c r="C330" s="38"/>
      <c r="D330" s="57"/>
      <c r="E330" s="38"/>
      <c r="F330" s="52"/>
      <c r="G330" s="38"/>
      <c r="H330" s="38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48" t="str">
        <f>IF($A330="","",IF(OR($C330="",$D330="",$E330="",$F330=""),"INCOMPLETO",IF(OR($D330&lt;2021,$D330&gt;2026),"ANO FORA DA JANELA",IF(OR(LOWER($U330)&lt;&gt;"sim",LOWER($V330)&lt;&gt;"sim",$G330="",$H330="",$J330="",$K330="",$M330="",$N330="",$Q330="",$R330="",$S330=""),"INCOMPLETO",IF(LEFT($C330,3)="PTT",IF(COUNTIF('Estratos e PTTs'!$B$15:$B$30,$E330)=0,"TIPO PTT INVÁLIDO","OK"),"OK")))))</f>
        <v/>
      </c>
      <c r="X330" s="52"/>
    </row>
    <row r="331" ht="15.75" customHeight="1">
      <c r="A331" s="52"/>
      <c r="B331" s="28" t="str">
        <f>IF($A331="","",IFERROR(VLOOKUP($A331,'Resumo por docente'!$A$8:$B$57,2,FALSE),""))</f>
        <v/>
      </c>
      <c r="C331" s="38"/>
      <c r="D331" s="57"/>
      <c r="E331" s="38"/>
      <c r="F331" s="52"/>
      <c r="G331" s="38"/>
      <c r="H331" s="38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48" t="str">
        <f>IF($A331="","",IF(OR($C331="",$D331="",$E331="",$F331=""),"INCOMPLETO",IF(OR($D331&lt;2021,$D331&gt;2026),"ANO FORA DA JANELA",IF(OR(LOWER($U331)&lt;&gt;"sim",LOWER($V331)&lt;&gt;"sim",$G331="",$H331="",$J331="",$K331="",$M331="",$N331="",$Q331="",$R331="",$S331=""),"INCOMPLETO",IF(LEFT($C331,3)="PTT",IF(COUNTIF('Estratos e PTTs'!$B$15:$B$30,$E331)=0,"TIPO PTT INVÁLIDO","OK"),"OK")))))</f>
        <v/>
      </c>
      <c r="X331" s="52"/>
    </row>
    <row r="332" ht="15.75" customHeight="1">
      <c r="A332" s="52"/>
      <c r="B332" s="28" t="str">
        <f>IF($A332="","",IFERROR(VLOOKUP($A332,'Resumo por docente'!$A$8:$B$57,2,FALSE),""))</f>
        <v/>
      </c>
      <c r="C332" s="38"/>
      <c r="D332" s="57"/>
      <c r="E332" s="38"/>
      <c r="F332" s="52"/>
      <c r="G332" s="38"/>
      <c r="H332" s="38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48" t="str">
        <f>IF($A332="","",IF(OR($C332="",$D332="",$E332="",$F332=""),"INCOMPLETO",IF(OR($D332&lt;2021,$D332&gt;2026),"ANO FORA DA JANELA",IF(OR(LOWER($U332)&lt;&gt;"sim",LOWER($V332)&lt;&gt;"sim",$G332="",$H332="",$J332="",$K332="",$M332="",$N332="",$Q332="",$R332="",$S332=""),"INCOMPLETO",IF(LEFT($C332,3)="PTT",IF(COUNTIF('Estratos e PTTs'!$B$15:$B$30,$E332)=0,"TIPO PTT INVÁLIDO","OK"),"OK")))))</f>
        <v/>
      </c>
      <c r="X332" s="52"/>
    </row>
    <row r="333" ht="15.75" customHeight="1">
      <c r="A333" s="52"/>
      <c r="B333" s="28" t="str">
        <f>IF($A333="","",IFERROR(VLOOKUP($A333,'Resumo por docente'!$A$8:$B$57,2,FALSE),""))</f>
        <v/>
      </c>
      <c r="C333" s="38"/>
      <c r="D333" s="57"/>
      <c r="E333" s="38"/>
      <c r="F333" s="52"/>
      <c r="G333" s="38"/>
      <c r="H333" s="38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48" t="str">
        <f>IF($A333="","",IF(OR($C333="",$D333="",$E333="",$F333=""),"INCOMPLETO",IF(OR($D333&lt;2021,$D333&gt;2026),"ANO FORA DA JANELA",IF(OR(LOWER($U333)&lt;&gt;"sim",LOWER($V333)&lt;&gt;"sim",$G333="",$H333="",$J333="",$K333="",$M333="",$N333="",$Q333="",$R333="",$S333=""),"INCOMPLETO",IF(LEFT($C333,3)="PTT",IF(COUNTIF('Estratos e PTTs'!$B$15:$B$30,$E333)=0,"TIPO PTT INVÁLIDO","OK"),"OK")))))</f>
        <v/>
      </c>
      <c r="X333" s="52"/>
    </row>
    <row r="334" ht="15.75" customHeight="1">
      <c r="A334" s="52"/>
      <c r="B334" s="28" t="str">
        <f>IF($A334="","",IFERROR(VLOOKUP($A334,'Resumo por docente'!$A$8:$B$57,2,FALSE),""))</f>
        <v/>
      </c>
      <c r="C334" s="38"/>
      <c r="D334" s="57"/>
      <c r="E334" s="38"/>
      <c r="F334" s="52"/>
      <c r="G334" s="38"/>
      <c r="H334" s="38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48" t="str">
        <f>IF($A334="","",IF(OR($C334="",$D334="",$E334="",$F334=""),"INCOMPLETO",IF(OR($D334&lt;2021,$D334&gt;2026),"ANO FORA DA JANELA",IF(OR(LOWER($U334)&lt;&gt;"sim",LOWER($V334)&lt;&gt;"sim",$G334="",$H334="",$J334="",$K334="",$M334="",$N334="",$Q334="",$R334="",$S334=""),"INCOMPLETO",IF(LEFT($C334,3)="PTT",IF(COUNTIF('Estratos e PTTs'!$B$15:$B$30,$E334)=0,"TIPO PTT INVÁLIDO","OK"),"OK")))))</f>
        <v/>
      </c>
      <c r="X334" s="52"/>
    </row>
    <row r="335" ht="15.75" customHeight="1">
      <c r="A335" s="52"/>
      <c r="B335" s="28" t="str">
        <f>IF($A335="","",IFERROR(VLOOKUP($A335,'Resumo por docente'!$A$8:$B$57,2,FALSE),""))</f>
        <v/>
      </c>
      <c r="C335" s="38"/>
      <c r="D335" s="57"/>
      <c r="E335" s="38"/>
      <c r="F335" s="52"/>
      <c r="G335" s="38"/>
      <c r="H335" s="38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48" t="str">
        <f>IF($A335="","",IF(OR($C335="",$D335="",$E335="",$F335=""),"INCOMPLETO",IF(OR($D335&lt;2021,$D335&gt;2026),"ANO FORA DA JANELA",IF(OR(LOWER($U335)&lt;&gt;"sim",LOWER($V335)&lt;&gt;"sim",$G335="",$H335="",$J335="",$K335="",$M335="",$N335="",$Q335="",$R335="",$S335=""),"INCOMPLETO",IF(LEFT($C335,3)="PTT",IF(COUNTIF('Estratos e PTTs'!$B$15:$B$30,$E335)=0,"TIPO PTT INVÁLIDO","OK"),"OK")))))</f>
        <v/>
      </c>
      <c r="X335" s="52"/>
    </row>
    <row r="336" ht="15.75" customHeight="1">
      <c r="A336" s="52"/>
      <c r="B336" s="28" t="str">
        <f>IF($A336="","",IFERROR(VLOOKUP($A336,'Resumo por docente'!$A$8:$B$57,2,FALSE),""))</f>
        <v/>
      </c>
      <c r="C336" s="38"/>
      <c r="D336" s="57"/>
      <c r="E336" s="38"/>
      <c r="F336" s="52"/>
      <c r="G336" s="38"/>
      <c r="H336" s="38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48" t="str">
        <f>IF($A336="","",IF(OR($C336="",$D336="",$E336="",$F336=""),"INCOMPLETO",IF(OR($D336&lt;2021,$D336&gt;2026),"ANO FORA DA JANELA",IF(OR(LOWER($U336)&lt;&gt;"sim",LOWER($V336)&lt;&gt;"sim",$G336="",$H336="",$J336="",$K336="",$M336="",$N336="",$Q336="",$R336="",$S336=""),"INCOMPLETO",IF(LEFT($C336,3)="PTT",IF(COUNTIF('Estratos e PTTs'!$B$15:$B$30,$E336)=0,"TIPO PTT INVÁLIDO","OK"),"OK")))))</f>
        <v/>
      </c>
      <c r="X336" s="52"/>
    </row>
    <row r="337" ht="15.75" customHeight="1">
      <c r="A337" s="52"/>
      <c r="B337" s="28" t="str">
        <f>IF($A337="","",IFERROR(VLOOKUP($A337,'Resumo por docente'!$A$8:$B$57,2,FALSE),""))</f>
        <v/>
      </c>
      <c r="C337" s="38"/>
      <c r="D337" s="57"/>
      <c r="E337" s="38"/>
      <c r="F337" s="52"/>
      <c r="G337" s="38"/>
      <c r="H337" s="38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48" t="str">
        <f>IF($A337="","",IF(OR($C337="",$D337="",$E337="",$F337=""),"INCOMPLETO",IF(OR($D337&lt;2021,$D337&gt;2026),"ANO FORA DA JANELA",IF(OR(LOWER($U337)&lt;&gt;"sim",LOWER($V337)&lt;&gt;"sim",$G337="",$H337="",$J337="",$K337="",$M337="",$N337="",$Q337="",$R337="",$S337=""),"INCOMPLETO",IF(LEFT($C337,3)="PTT",IF(COUNTIF('Estratos e PTTs'!$B$15:$B$30,$E337)=0,"TIPO PTT INVÁLIDO","OK"),"OK")))))</f>
        <v/>
      </c>
      <c r="X337" s="52"/>
    </row>
    <row r="338" ht="15.75" customHeight="1">
      <c r="A338" s="52"/>
      <c r="B338" s="28" t="str">
        <f>IF($A338="","",IFERROR(VLOOKUP($A338,'Resumo por docente'!$A$8:$B$57,2,FALSE),""))</f>
        <v/>
      </c>
      <c r="C338" s="38"/>
      <c r="D338" s="57"/>
      <c r="E338" s="38"/>
      <c r="F338" s="52"/>
      <c r="G338" s="38"/>
      <c r="H338" s="38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48" t="str">
        <f>IF($A338="","",IF(OR($C338="",$D338="",$E338="",$F338=""),"INCOMPLETO",IF(OR($D338&lt;2021,$D338&gt;2026),"ANO FORA DA JANELA",IF(OR(LOWER($U338)&lt;&gt;"sim",LOWER($V338)&lt;&gt;"sim",$G338="",$H338="",$J338="",$K338="",$M338="",$N338="",$Q338="",$R338="",$S338=""),"INCOMPLETO",IF(LEFT($C338,3)="PTT",IF(COUNTIF('Estratos e PTTs'!$B$15:$B$30,$E338)=0,"TIPO PTT INVÁLIDO","OK"),"OK")))))</f>
        <v/>
      </c>
      <c r="X338" s="52"/>
    </row>
    <row r="339" ht="15.75" customHeight="1">
      <c r="A339" s="52"/>
      <c r="B339" s="28" t="str">
        <f>IF($A339="","",IFERROR(VLOOKUP($A339,'Resumo por docente'!$A$8:$B$57,2,FALSE),""))</f>
        <v/>
      </c>
      <c r="C339" s="38"/>
      <c r="D339" s="57"/>
      <c r="E339" s="38"/>
      <c r="F339" s="52"/>
      <c r="G339" s="38"/>
      <c r="H339" s="38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48" t="str">
        <f>IF($A339="","",IF(OR($C339="",$D339="",$E339="",$F339=""),"INCOMPLETO",IF(OR($D339&lt;2021,$D339&gt;2026),"ANO FORA DA JANELA",IF(OR(LOWER($U339)&lt;&gt;"sim",LOWER($V339)&lt;&gt;"sim",$G339="",$H339="",$J339="",$K339="",$M339="",$N339="",$Q339="",$R339="",$S339=""),"INCOMPLETO",IF(LEFT($C339,3)="PTT",IF(COUNTIF('Estratos e PTTs'!$B$15:$B$30,$E339)=0,"TIPO PTT INVÁLIDO","OK"),"OK")))))</f>
        <v/>
      </c>
      <c r="X339" s="52"/>
    </row>
    <row r="340" ht="15.75" customHeight="1">
      <c r="A340" s="52"/>
      <c r="B340" s="28" t="str">
        <f>IF($A340="","",IFERROR(VLOOKUP($A340,'Resumo por docente'!$A$8:$B$57,2,FALSE),""))</f>
        <v/>
      </c>
      <c r="C340" s="38"/>
      <c r="D340" s="57"/>
      <c r="E340" s="38"/>
      <c r="F340" s="52"/>
      <c r="G340" s="38"/>
      <c r="H340" s="38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48" t="str">
        <f>IF($A340="","",IF(OR($C340="",$D340="",$E340="",$F340=""),"INCOMPLETO",IF(OR($D340&lt;2021,$D340&gt;2026),"ANO FORA DA JANELA",IF(OR(LOWER($U340)&lt;&gt;"sim",LOWER($V340)&lt;&gt;"sim",$G340="",$H340="",$J340="",$K340="",$M340="",$N340="",$Q340="",$R340="",$S340=""),"INCOMPLETO",IF(LEFT($C340,3)="PTT",IF(COUNTIF('Estratos e PTTs'!$B$15:$B$30,$E340)=0,"TIPO PTT INVÁLIDO","OK"),"OK")))))</f>
        <v/>
      </c>
      <c r="X340" s="52"/>
    </row>
    <row r="341" ht="15.75" customHeight="1">
      <c r="A341" s="52"/>
      <c r="B341" s="28" t="str">
        <f>IF($A341="","",IFERROR(VLOOKUP($A341,'Resumo por docente'!$A$8:$B$57,2,FALSE),""))</f>
        <v/>
      </c>
      <c r="C341" s="38"/>
      <c r="D341" s="57"/>
      <c r="E341" s="38"/>
      <c r="F341" s="52"/>
      <c r="G341" s="38"/>
      <c r="H341" s="38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48" t="str">
        <f>IF($A341="","",IF(OR($C341="",$D341="",$E341="",$F341=""),"INCOMPLETO",IF(OR($D341&lt;2021,$D341&gt;2026),"ANO FORA DA JANELA",IF(OR(LOWER($U341)&lt;&gt;"sim",LOWER($V341)&lt;&gt;"sim",$G341="",$H341="",$J341="",$K341="",$M341="",$N341="",$Q341="",$R341="",$S341=""),"INCOMPLETO",IF(LEFT($C341,3)="PTT",IF(COUNTIF('Estratos e PTTs'!$B$15:$B$30,$E341)=0,"TIPO PTT INVÁLIDO","OK"),"OK")))))</f>
        <v/>
      </c>
      <c r="X341" s="52"/>
    </row>
    <row r="342" ht="15.75" customHeight="1">
      <c r="A342" s="52"/>
      <c r="B342" s="28" t="str">
        <f>IF($A342="","",IFERROR(VLOOKUP($A342,'Resumo por docente'!$A$8:$B$57,2,FALSE),""))</f>
        <v/>
      </c>
      <c r="C342" s="38"/>
      <c r="D342" s="57"/>
      <c r="E342" s="38"/>
      <c r="F342" s="52"/>
      <c r="G342" s="38"/>
      <c r="H342" s="38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48" t="str">
        <f>IF($A342="","",IF(OR($C342="",$D342="",$E342="",$F342=""),"INCOMPLETO",IF(OR($D342&lt;2021,$D342&gt;2026),"ANO FORA DA JANELA",IF(OR(LOWER($U342)&lt;&gt;"sim",LOWER($V342)&lt;&gt;"sim",$G342="",$H342="",$J342="",$K342="",$M342="",$N342="",$Q342="",$R342="",$S342=""),"INCOMPLETO",IF(LEFT($C342,3)="PTT",IF(COUNTIF('Estratos e PTTs'!$B$15:$B$30,$E342)=0,"TIPO PTT INVÁLIDO","OK"),"OK")))))</f>
        <v/>
      </c>
      <c r="X342" s="52"/>
    </row>
    <row r="343" ht="15.75" customHeight="1">
      <c r="A343" s="52"/>
      <c r="B343" s="28" t="str">
        <f>IF($A343="","",IFERROR(VLOOKUP($A343,'Resumo por docente'!$A$8:$B$57,2,FALSE),""))</f>
        <v/>
      </c>
      <c r="C343" s="38"/>
      <c r="D343" s="57"/>
      <c r="E343" s="38"/>
      <c r="F343" s="52"/>
      <c r="G343" s="38"/>
      <c r="H343" s="38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48" t="str">
        <f>IF($A343="","",IF(OR($C343="",$D343="",$E343="",$F343=""),"INCOMPLETO",IF(OR($D343&lt;2021,$D343&gt;2026),"ANO FORA DA JANELA",IF(OR(LOWER($U343)&lt;&gt;"sim",LOWER($V343)&lt;&gt;"sim",$G343="",$H343="",$J343="",$K343="",$M343="",$N343="",$Q343="",$R343="",$S343=""),"INCOMPLETO",IF(LEFT($C343,3)="PTT",IF(COUNTIF('Estratos e PTTs'!$B$15:$B$30,$E343)=0,"TIPO PTT INVÁLIDO","OK"),"OK")))))</f>
        <v/>
      </c>
      <c r="X343" s="52"/>
    </row>
    <row r="344" ht="15.75" customHeight="1">
      <c r="A344" s="52"/>
      <c r="B344" s="28" t="str">
        <f>IF($A344="","",IFERROR(VLOOKUP($A344,'Resumo por docente'!$A$8:$B$57,2,FALSE),""))</f>
        <v/>
      </c>
      <c r="C344" s="38"/>
      <c r="D344" s="57"/>
      <c r="E344" s="38"/>
      <c r="F344" s="52"/>
      <c r="G344" s="38"/>
      <c r="H344" s="38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48" t="str">
        <f>IF($A344="","",IF(OR($C344="",$D344="",$E344="",$F344=""),"INCOMPLETO",IF(OR($D344&lt;2021,$D344&gt;2026),"ANO FORA DA JANELA",IF(OR(LOWER($U344)&lt;&gt;"sim",LOWER($V344)&lt;&gt;"sim",$G344="",$H344="",$J344="",$K344="",$M344="",$N344="",$Q344="",$R344="",$S344=""),"INCOMPLETO",IF(LEFT($C344,3)="PTT",IF(COUNTIF('Estratos e PTTs'!$B$15:$B$30,$E344)=0,"TIPO PTT INVÁLIDO","OK"),"OK")))))</f>
        <v/>
      </c>
      <c r="X344" s="52"/>
    </row>
    <row r="345" ht="15.75" customHeight="1">
      <c r="A345" s="52"/>
      <c r="B345" s="28" t="str">
        <f>IF($A345="","",IFERROR(VLOOKUP($A345,'Resumo por docente'!$A$8:$B$57,2,FALSE),""))</f>
        <v/>
      </c>
      <c r="C345" s="38"/>
      <c r="D345" s="57"/>
      <c r="E345" s="38"/>
      <c r="F345" s="52"/>
      <c r="G345" s="38"/>
      <c r="H345" s="38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48" t="str">
        <f>IF($A345="","",IF(OR($C345="",$D345="",$E345="",$F345=""),"INCOMPLETO",IF(OR($D345&lt;2021,$D345&gt;2026),"ANO FORA DA JANELA",IF(OR(LOWER($U345)&lt;&gt;"sim",LOWER($V345)&lt;&gt;"sim",$G345="",$H345="",$J345="",$K345="",$M345="",$N345="",$Q345="",$R345="",$S345=""),"INCOMPLETO",IF(LEFT($C345,3)="PTT",IF(COUNTIF('Estratos e PTTs'!$B$15:$B$30,$E345)=0,"TIPO PTT INVÁLIDO","OK"),"OK")))))</f>
        <v/>
      </c>
      <c r="X345" s="52"/>
    </row>
    <row r="346" ht="15.75" customHeight="1">
      <c r="A346" s="52"/>
      <c r="B346" s="28" t="str">
        <f>IF($A346="","",IFERROR(VLOOKUP($A346,'Resumo por docente'!$A$8:$B$57,2,FALSE),""))</f>
        <v/>
      </c>
      <c r="C346" s="38"/>
      <c r="D346" s="57"/>
      <c r="E346" s="38"/>
      <c r="F346" s="52"/>
      <c r="G346" s="38"/>
      <c r="H346" s="38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48" t="str">
        <f>IF($A346="","",IF(OR($C346="",$D346="",$E346="",$F346=""),"INCOMPLETO",IF(OR($D346&lt;2021,$D346&gt;2026),"ANO FORA DA JANELA",IF(OR(LOWER($U346)&lt;&gt;"sim",LOWER($V346)&lt;&gt;"sim",$G346="",$H346="",$J346="",$K346="",$M346="",$N346="",$Q346="",$R346="",$S346=""),"INCOMPLETO",IF(LEFT($C346,3)="PTT",IF(COUNTIF('Estratos e PTTs'!$B$15:$B$30,$E346)=0,"TIPO PTT INVÁLIDO","OK"),"OK")))))</f>
        <v/>
      </c>
      <c r="X346" s="52"/>
    </row>
    <row r="347" ht="15.75" customHeight="1">
      <c r="A347" s="52"/>
      <c r="B347" s="28" t="str">
        <f>IF($A347="","",IFERROR(VLOOKUP($A347,'Resumo por docente'!$A$8:$B$57,2,FALSE),""))</f>
        <v/>
      </c>
      <c r="C347" s="38"/>
      <c r="D347" s="57"/>
      <c r="E347" s="38"/>
      <c r="F347" s="52"/>
      <c r="G347" s="38"/>
      <c r="H347" s="38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48" t="str">
        <f>IF($A347="","",IF(OR($C347="",$D347="",$E347="",$F347=""),"INCOMPLETO",IF(OR($D347&lt;2021,$D347&gt;2026),"ANO FORA DA JANELA",IF(OR(LOWER($U347)&lt;&gt;"sim",LOWER($V347)&lt;&gt;"sim",$G347="",$H347="",$J347="",$K347="",$M347="",$N347="",$Q347="",$R347="",$S347=""),"INCOMPLETO",IF(LEFT($C347,3)="PTT",IF(COUNTIF('Estratos e PTTs'!$B$15:$B$30,$E347)=0,"TIPO PTT INVÁLIDO","OK"),"OK")))))</f>
        <v/>
      </c>
      <c r="X347" s="52"/>
    </row>
    <row r="348" ht="15.75" customHeight="1">
      <c r="A348" s="52"/>
      <c r="B348" s="28" t="str">
        <f>IF($A348="","",IFERROR(VLOOKUP($A348,'Resumo por docente'!$A$8:$B$57,2,FALSE),""))</f>
        <v/>
      </c>
      <c r="C348" s="38"/>
      <c r="D348" s="57"/>
      <c r="E348" s="38"/>
      <c r="F348" s="52"/>
      <c r="G348" s="38"/>
      <c r="H348" s="38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48" t="str">
        <f>IF($A348="","",IF(OR($C348="",$D348="",$E348="",$F348=""),"INCOMPLETO",IF(OR($D348&lt;2021,$D348&gt;2026),"ANO FORA DA JANELA",IF(OR(LOWER($U348)&lt;&gt;"sim",LOWER($V348)&lt;&gt;"sim",$G348="",$H348="",$J348="",$K348="",$M348="",$N348="",$Q348="",$R348="",$S348=""),"INCOMPLETO",IF(LEFT($C348,3)="PTT",IF(COUNTIF('Estratos e PTTs'!$B$15:$B$30,$E348)=0,"TIPO PTT INVÁLIDO","OK"),"OK")))))</f>
        <v/>
      </c>
      <c r="X348" s="52"/>
    </row>
    <row r="349" ht="15.75" customHeight="1">
      <c r="A349" s="52"/>
      <c r="B349" s="28" t="str">
        <f>IF($A349="","",IFERROR(VLOOKUP($A349,'Resumo por docente'!$A$8:$B$57,2,FALSE),""))</f>
        <v/>
      </c>
      <c r="C349" s="38"/>
      <c r="D349" s="57"/>
      <c r="E349" s="38"/>
      <c r="F349" s="52"/>
      <c r="G349" s="38"/>
      <c r="H349" s="38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48" t="str">
        <f>IF($A349="","",IF(OR($C349="",$D349="",$E349="",$F349=""),"INCOMPLETO",IF(OR($D349&lt;2021,$D349&gt;2026),"ANO FORA DA JANELA",IF(OR(LOWER($U349)&lt;&gt;"sim",LOWER($V349)&lt;&gt;"sim",$G349="",$H349="",$J349="",$K349="",$M349="",$N349="",$Q349="",$R349="",$S349=""),"INCOMPLETO",IF(LEFT($C349,3)="PTT",IF(COUNTIF('Estratos e PTTs'!$B$15:$B$30,$E349)=0,"TIPO PTT INVÁLIDO","OK"),"OK")))))</f>
        <v/>
      </c>
      <c r="X349" s="52"/>
    </row>
    <row r="350" ht="15.75" customHeight="1">
      <c r="A350" s="52"/>
      <c r="B350" s="28" t="str">
        <f>IF($A350="","",IFERROR(VLOOKUP($A350,'Resumo por docente'!$A$8:$B$57,2,FALSE),""))</f>
        <v/>
      </c>
      <c r="C350" s="38"/>
      <c r="D350" s="57"/>
      <c r="E350" s="38"/>
      <c r="F350" s="52"/>
      <c r="G350" s="38"/>
      <c r="H350" s="38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48" t="str">
        <f>IF($A350="","",IF(OR($C350="",$D350="",$E350="",$F350=""),"INCOMPLETO",IF(OR($D350&lt;2021,$D350&gt;2026),"ANO FORA DA JANELA",IF(OR(LOWER($U350)&lt;&gt;"sim",LOWER($V350)&lt;&gt;"sim",$G350="",$H350="",$J350="",$K350="",$M350="",$N350="",$Q350="",$R350="",$S350=""),"INCOMPLETO",IF(LEFT($C350,3)="PTT",IF(COUNTIF('Estratos e PTTs'!$B$15:$B$30,$E350)=0,"TIPO PTT INVÁLIDO","OK"),"OK")))))</f>
        <v/>
      </c>
      <c r="X350" s="52"/>
    </row>
    <row r="351" ht="15.75" customHeight="1">
      <c r="A351" s="52"/>
      <c r="B351" s="28" t="str">
        <f>IF($A351="","",IFERROR(VLOOKUP($A351,'Resumo por docente'!$A$8:$B$57,2,FALSE),""))</f>
        <v/>
      </c>
      <c r="C351" s="38"/>
      <c r="D351" s="57"/>
      <c r="E351" s="38"/>
      <c r="F351" s="52"/>
      <c r="G351" s="38"/>
      <c r="H351" s="38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48" t="str">
        <f>IF($A351="","",IF(OR($C351="",$D351="",$E351="",$F351=""),"INCOMPLETO",IF(OR($D351&lt;2021,$D351&gt;2026),"ANO FORA DA JANELA",IF(OR(LOWER($U351)&lt;&gt;"sim",LOWER($V351)&lt;&gt;"sim",$G351="",$H351="",$J351="",$K351="",$M351="",$N351="",$Q351="",$R351="",$S351=""),"INCOMPLETO",IF(LEFT($C351,3)="PTT",IF(COUNTIF('Estratos e PTTs'!$B$15:$B$30,$E351)=0,"TIPO PTT INVÁLIDO","OK"),"OK")))))</f>
        <v/>
      </c>
      <c r="X351" s="52"/>
    </row>
    <row r="352" ht="15.75" customHeight="1">
      <c r="A352" s="52"/>
      <c r="B352" s="28" t="str">
        <f>IF($A352="","",IFERROR(VLOOKUP($A352,'Resumo por docente'!$A$8:$B$57,2,FALSE),""))</f>
        <v/>
      </c>
      <c r="C352" s="38"/>
      <c r="D352" s="57"/>
      <c r="E352" s="38"/>
      <c r="F352" s="52"/>
      <c r="G352" s="38"/>
      <c r="H352" s="38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48" t="str">
        <f>IF($A352="","",IF(OR($C352="",$D352="",$E352="",$F352=""),"INCOMPLETO",IF(OR($D352&lt;2021,$D352&gt;2026),"ANO FORA DA JANELA",IF(OR(LOWER($U352)&lt;&gt;"sim",LOWER($V352)&lt;&gt;"sim",$G352="",$H352="",$J352="",$K352="",$M352="",$N352="",$Q352="",$R352="",$S352=""),"INCOMPLETO",IF(LEFT($C352,3)="PTT",IF(COUNTIF('Estratos e PTTs'!$B$15:$B$30,$E352)=0,"TIPO PTT INVÁLIDO","OK"),"OK")))))</f>
        <v/>
      </c>
      <c r="X352" s="52"/>
    </row>
    <row r="353" ht="15.75" customHeight="1">
      <c r="A353" s="52"/>
      <c r="B353" s="28" t="str">
        <f>IF($A353="","",IFERROR(VLOOKUP($A353,'Resumo por docente'!$A$8:$B$57,2,FALSE),""))</f>
        <v/>
      </c>
      <c r="C353" s="38"/>
      <c r="D353" s="57"/>
      <c r="E353" s="38"/>
      <c r="F353" s="52"/>
      <c r="G353" s="38"/>
      <c r="H353" s="38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48" t="str">
        <f>IF($A353="","",IF(OR($C353="",$D353="",$E353="",$F353=""),"INCOMPLETO",IF(OR($D353&lt;2021,$D353&gt;2026),"ANO FORA DA JANELA",IF(OR(LOWER($U353)&lt;&gt;"sim",LOWER($V353)&lt;&gt;"sim",$G353="",$H353="",$J353="",$K353="",$M353="",$N353="",$Q353="",$R353="",$S353=""),"INCOMPLETO",IF(LEFT($C353,3)="PTT",IF(COUNTIF('Estratos e PTTs'!$B$15:$B$30,$E353)=0,"TIPO PTT INVÁLIDO","OK"),"OK")))))</f>
        <v/>
      </c>
      <c r="X353" s="52"/>
    </row>
    <row r="354" ht="15.75" customHeight="1">
      <c r="A354" s="52"/>
      <c r="B354" s="28" t="str">
        <f>IF($A354="","",IFERROR(VLOOKUP($A354,'Resumo por docente'!$A$8:$B$57,2,FALSE),""))</f>
        <v/>
      </c>
      <c r="C354" s="38"/>
      <c r="D354" s="57"/>
      <c r="E354" s="38"/>
      <c r="F354" s="52"/>
      <c r="G354" s="38"/>
      <c r="H354" s="38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48" t="str">
        <f>IF($A354="","",IF(OR($C354="",$D354="",$E354="",$F354=""),"INCOMPLETO",IF(OR($D354&lt;2021,$D354&gt;2026),"ANO FORA DA JANELA",IF(OR(LOWER($U354)&lt;&gt;"sim",LOWER($V354)&lt;&gt;"sim",$G354="",$H354="",$J354="",$K354="",$M354="",$N354="",$Q354="",$R354="",$S354=""),"INCOMPLETO",IF(LEFT($C354,3)="PTT",IF(COUNTIF('Estratos e PTTs'!$B$15:$B$30,$E354)=0,"TIPO PTT INVÁLIDO","OK"),"OK")))))</f>
        <v/>
      </c>
      <c r="X354" s="52"/>
    </row>
    <row r="355" ht="15.75" customHeight="1">
      <c r="A355" s="52"/>
      <c r="B355" s="28" t="str">
        <f>IF($A355="","",IFERROR(VLOOKUP($A355,'Resumo por docente'!$A$8:$B$57,2,FALSE),""))</f>
        <v/>
      </c>
      <c r="C355" s="38"/>
      <c r="D355" s="57"/>
      <c r="E355" s="38"/>
      <c r="F355" s="52"/>
      <c r="G355" s="38"/>
      <c r="H355" s="38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48" t="str">
        <f>IF($A355="","",IF(OR($C355="",$D355="",$E355="",$F355=""),"INCOMPLETO",IF(OR($D355&lt;2021,$D355&gt;2026),"ANO FORA DA JANELA",IF(OR(LOWER($U355)&lt;&gt;"sim",LOWER($V355)&lt;&gt;"sim",$G355="",$H355="",$J355="",$K355="",$M355="",$N355="",$Q355="",$R355="",$S355=""),"INCOMPLETO",IF(LEFT($C355,3)="PTT",IF(COUNTIF('Estratos e PTTs'!$B$15:$B$30,$E355)=0,"TIPO PTT INVÁLIDO","OK"),"OK")))))</f>
        <v/>
      </c>
      <c r="X355" s="52"/>
    </row>
    <row r="356" ht="15.75" customHeight="1">
      <c r="A356" s="52"/>
      <c r="B356" s="28" t="str">
        <f>IF($A356="","",IFERROR(VLOOKUP($A356,'Resumo por docente'!$A$8:$B$57,2,FALSE),""))</f>
        <v/>
      </c>
      <c r="C356" s="38"/>
      <c r="D356" s="57"/>
      <c r="E356" s="38"/>
      <c r="F356" s="52"/>
      <c r="G356" s="38"/>
      <c r="H356" s="38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48" t="str">
        <f>IF($A356="","",IF(OR($C356="",$D356="",$E356="",$F356=""),"INCOMPLETO",IF(OR($D356&lt;2021,$D356&gt;2026),"ANO FORA DA JANELA",IF(OR(LOWER($U356)&lt;&gt;"sim",LOWER($V356)&lt;&gt;"sim",$G356="",$H356="",$J356="",$K356="",$M356="",$N356="",$Q356="",$R356="",$S356=""),"INCOMPLETO",IF(LEFT($C356,3)="PTT",IF(COUNTIF('Estratos e PTTs'!$B$15:$B$30,$E356)=0,"TIPO PTT INVÁLIDO","OK"),"OK")))))</f>
        <v/>
      </c>
      <c r="X356" s="52"/>
    </row>
    <row r="357" ht="15.75" customHeight="1">
      <c r="A357" s="52"/>
      <c r="B357" s="28" t="str">
        <f>IF($A357="","",IFERROR(VLOOKUP($A357,'Resumo por docente'!$A$8:$B$57,2,FALSE),""))</f>
        <v/>
      </c>
      <c r="C357" s="38"/>
      <c r="D357" s="57"/>
      <c r="E357" s="38"/>
      <c r="F357" s="52"/>
      <c r="G357" s="38"/>
      <c r="H357" s="38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48" t="str">
        <f>IF($A357="","",IF(OR($C357="",$D357="",$E357="",$F357=""),"INCOMPLETO",IF(OR($D357&lt;2021,$D357&gt;2026),"ANO FORA DA JANELA",IF(OR(LOWER($U357)&lt;&gt;"sim",LOWER($V357)&lt;&gt;"sim",$G357="",$H357="",$J357="",$K357="",$M357="",$N357="",$Q357="",$R357="",$S357=""),"INCOMPLETO",IF(LEFT($C357,3)="PTT",IF(COUNTIF('Estratos e PTTs'!$B$15:$B$30,$E357)=0,"TIPO PTT INVÁLIDO","OK"),"OK")))))</f>
        <v/>
      </c>
      <c r="X357" s="52"/>
    </row>
    <row r="358" ht="15.75" customHeight="1">
      <c r="A358" s="52"/>
      <c r="B358" s="28" t="str">
        <f>IF($A358="","",IFERROR(VLOOKUP($A358,'Resumo por docente'!$A$8:$B$57,2,FALSE),""))</f>
        <v/>
      </c>
      <c r="C358" s="38"/>
      <c r="D358" s="57"/>
      <c r="E358" s="38"/>
      <c r="F358" s="52"/>
      <c r="G358" s="38"/>
      <c r="H358" s="38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48" t="str">
        <f>IF($A358="","",IF(OR($C358="",$D358="",$E358="",$F358=""),"INCOMPLETO",IF(OR($D358&lt;2021,$D358&gt;2026),"ANO FORA DA JANELA",IF(OR(LOWER($U358)&lt;&gt;"sim",LOWER($V358)&lt;&gt;"sim",$G358="",$H358="",$J358="",$K358="",$M358="",$N358="",$Q358="",$R358="",$S358=""),"INCOMPLETO",IF(LEFT($C358,3)="PTT",IF(COUNTIF('Estratos e PTTs'!$B$15:$B$30,$E358)=0,"TIPO PTT INVÁLIDO","OK"),"OK")))))</f>
        <v/>
      </c>
      <c r="X358" s="52"/>
    </row>
    <row r="359" ht="15.75" customHeight="1">
      <c r="A359" s="52"/>
      <c r="B359" s="28" t="str">
        <f>IF($A359="","",IFERROR(VLOOKUP($A359,'Resumo por docente'!$A$8:$B$57,2,FALSE),""))</f>
        <v/>
      </c>
      <c r="C359" s="38"/>
      <c r="D359" s="57"/>
      <c r="E359" s="38"/>
      <c r="F359" s="52"/>
      <c r="G359" s="38"/>
      <c r="H359" s="38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48" t="str">
        <f>IF($A359="","",IF(OR($C359="",$D359="",$E359="",$F359=""),"INCOMPLETO",IF(OR($D359&lt;2021,$D359&gt;2026),"ANO FORA DA JANELA",IF(OR(LOWER($U359)&lt;&gt;"sim",LOWER($V359)&lt;&gt;"sim",$G359="",$H359="",$J359="",$K359="",$M359="",$N359="",$Q359="",$R359="",$S359=""),"INCOMPLETO",IF(LEFT($C359,3)="PTT",IF(COUNTIF('Estratos e PTTs'!$B$15:$B$30,$E359)=0,"TIPO PTT INVÁLIDO","OK"),"OK")))))</f>
        <v/>
      </c>
      <c r="X359" s="52"/>
    </row>
    <row r="360" ht="15.75" customHeight="1">
      <c r="A360" s="52"/>
      <c r="B360" s="28" t="str">
        <f>IF($A360="","",IFERROR(VLOOKUP($A360,'Resumo por docente'!$A$8:$B$57,2,FALSE),""))</f>
        <v/>
      </c>
      <c r="C360" s="38"/>
      <c r="D360" s="57"/>
      <c r="E360" s="38"/>
      <c r="F360" s="52"/>
      <c r="G360" s="38"/>
      <c r="H360" s="38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48" t="str">
        <f>IF($A360="","",IF(OR($C360="",$D360="",$E360="",$F360=""),"INCOMPLETO",IF(OR($D360&lt;2021,$D360&gt;2026),"ANO FORA DA JANELA",IF(OR(LOWER($U360)&lt;&gt;"sim",LOWER($V360)&lt;&gt;"sim",$G360="",$H360="",$J360="",$K360="",$M360="",$N360="",$Q360="",$R360="",$S360=""),"INCOMPLETO",IF(LEFT($C360,3)="PTT",IF(COUNTIF('Estratos e PTTs'!$B$15:$B$30,$E360)=0,"TIPO PTT INVÁLIDO","OK"),"OK")))))</f>
        <v/>
      </c>
      <c r="X360" s="52"/>
    </row>
    <row r="361" ht="15.75" customHeight="1">
      <c r="A361" s="52"/>
      <c r="B361" s="28" t="str">
        <f>IF($A361="","",IFERROR(VLOOKUP($A361,'Resumo por docente'!$A$8:$B$57,2,FALSE),""))</f>
        <v/>
      </c>
      <c r="C361" s="38"/>
      <c r="D361" s="57"/>
      <c r="E361" s="38"/>
      <c r="F361" s="52"/>
      <c r="G361" s="38"/>
      <c r="H361" s="38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48" t="str">
        <f>IF($A361="","",IF(OR($C361="",$D361="",$E361="",$F361=""),"INCOMPLETO",IF(OR($D361&lt;2021,$D361&gt;2026),"ANO FORA DA JANELA",IF(OR(LOWER($U361)&lt;&gt;"sim",LOWER($V361)&lt;&gt;"sim",$G361="",$H361="",$J361="",$K361="",$M361="",$N361="",$Q361="",$R361="",$S361=""),"INCOMPLETO",IF(LEFT($C361,3)="PTT",IF(COUNTIF('Estratos e PTTs'!$B$15:$B$30,$E361)=0,"TIPO PTT INVÁLIDO","OK"),"OK")))))</f>
        <v/>
      </c>
      <c r="X361" s="52"/>
    </row>
    <row r="362" ht="15.75" customHeight="1">
      <c r="A362" s="52"/>
      <c r="B362" s="28" t="str">
        <f>IF($A362="","",IFERROR(VLOOKUP($A362,'Resumo por docente'!$A$8:$B$57,2,FALSE),""))</f>
        <v/>
      </c>
      <c r="C362" s="38"/>
      <c r="D362" s="57"/>
      <c r="E362" s="38"/>
      <c r="F362" s="52"/>
      <c r="G362" s="38"/>
      <c r="H362" s="38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48" t="str">
        <f>IF($A362="","",IF(OR($C362="",$D362="",$E362="",$F362=""),"INCOMPLETO",IF(OR($D362&lt;2021,$D362&gt;2026),"ANO FORA DA JANELA",IF(OR(LOWER($U362)&lt;&gt;"sim",LOWER($V362)&lt;&gt;"sim",$G362="",$H362="",$J362="",$K362="",$M362="",$N362="",$Q362="",$R362="",$S362=""),"INCOMPLETO",IF(LEFT($C362,3)="PTT",IF(COUNTIF('Estratos e PTTs'!$B$15:$B$30,$E362)=0,"TIPO PTT INVÁLIDO","OK"),"OK")))))</f>
        <v/>
      </c>
      <c r="X362" s="52"/>
    </row>
    <row r="363" ht="15.75" customHeight="1">
      <c r="A363" s="52"/>
      <c r="B363" s="28" t="str">
        <f>IF($A363="","",IFERROR(VLOOKUP($A363,'Resumo por docente'!$A$8:$B$57,2,FALSE),""))</f>
        <v/>
      </c>
      <c r="C363" s="38"/>
      <c r="D363" s="57"/>
      <c r="E363" s="38"/>
      <c r="F363" s="52"/>
      <c r="G363" s="38"/>
      <c r="H363" s="38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48" t="str">
        <f>IF($A363="","",IF(OR($C363="",$D363="",$E363="",$F363=""),"INCOMPLETO",IF(OR($D363&lt;2021,$D363&gt;2026),"ANO FORA DA JANELA",IF(OR(LOWER($U363)&lt;&gt;"sim",LOWER($V363)&lt;&gt;"sim",$G363="",$H363="",$J363="",$K363="",$M363="",$N363="",$Q363="",$R363="",$S363=""),"INCOMPLETO",IF(LEFT($C363,3)="PTT",IF(COUNTIF('Estratos e PTTs'!$B$15:$B$30,$E363)=0,"TIPO PTT INVÁLIDO","OK"),"OK")))))</f>
        <v/>
      </c>
      <c r="X363" s="52"/>
    </row>
    <row r="364" ht="15.75" customHeight="1">
      <c r="A364" s="52"/>
      <c r="B364" s="28" t="str">
        <f>IF($A364="","",IFERROR(VLOOKUP($A364,'Resumo por docente'!$A$8:$B$57,2,FALSE),""))</f>
        <v/>
      </c>
      <c r="C364" s="38"/>
      <c r="D364" s="57"/>
      <c r="E364" s="38"/>
      <c r="F364" s="52"/>
      <c r="G364" s="38"/>
      <c r="H364" s="38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48" t="str">
        <f>IF($A364="","",IF(OR($C364="",$D364="",$E364="",$F364=""),"INCOMPLETO",IF(OR($D364&lt;2021,$D364&gt;2026),"ANO FORA DA JANELA",IF(OR(LOWER($U364)&lt;&gt;"sim",LOWER($V364)&lt;&gt;"sim",$G364="",$H364="",$J364="",$K364="",$M364="",$N364="",$Q364="",$R364="",$S364=""),"INCOMPLETO",IF(LEFT($C364,3)="PTT",IF(COUNTIF('Estratos e PTTs'!$B$15:$B$30,$E364)=0,"TIPO PTT INVÁLIDO","OK"),"OK")))))</f>
        <v/>
      </c>
      <c r="X364" s="52"/>
    </row>
    <row r="365" ht="15.75" customHeight="1">
      <c r="A365" s="52"/>
      <c r="B365" s="28" t="str">
        <f>IF($A365="","",IFERROR(VLOOKUP($A365,'Resumo por docente'!$A$8:$B$57,2,FALSE),""))</f>
        <v/>
      </c>
      <c r="C365" s="38"/>
      <c r="D365" s="57"/>
      <c r="E365" s="38"/>
      <c r="F365" s="52"/>
      <c r="G365" s="38"/>
      <c r="H365" s="38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48" t="str">
        <f>IF($A365="","",IF(OR($C365="",$D365="",$E365="",$F365=""),"INCOMPLETO",IF(OR($D365&lt;2021,$D365&gt;2026),"ANO FORA DA JANELA",IF(OR(LOWER($U365)&lt;&gt;"sim",LOWER($V365)&lt;&gt;"sim",$G365="",$H365="",$J365="",$K365="",$M365="",$N365="",$Q365="",$R365="",$S365=""),"INCOMPLETO",IF(LEFT($C365,3)="PTT",IF(COUNTIF('Estratos e PTTs'!$B$15:$B$30,$E365)=0,"TIPO PTT INVÁLIDO","OK"),"OK")))))</f>
        <v/>
      </c>
      <c r="X365" s="52"/>
    </row>
    <row r="366" ht="15.75" customHeight="1">
      <c r="A366" s="52"/>
      <c r="B366" s="28" t="str">
        <f>IF($A366="","",IFERROR(VLOOKUP($A366,'Resumo por docente'!$A$8:$B$57,2,FALSE),""))</f>
        <v/>
      </c>
      <c r="C366" s="38"/>
      <c r="D366" s="57"/>
      <c r="E366" s="38"/>
      <c r="F366" s="52"/>
      <c r="G366" s="38"/>
      <c r="H366" s="38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48" t="str">
        <f>IF($A366="","",IF(OR($C366="",$D366="",$E366="",$F366=""),"INCOMPLETO",IF(OR($D366&lt;2021,$D366&gt;2026),"ANO FORA DA JANELA",IF(OR(LOWER($U366)&lt;&gt;"sim",LOWER($V366)&lt;&gt;"sim",$G366="",$H366="",$J366="",$K366="",$M366="",$N366="",$Q366="",$R366="",$S366=""),"INCOMPLETO",IF(LEFT($C366,3)="PTT",IF(COUNTIF('Estratos e PTTs'!$B$15:$B$30,$E366)=0,"TIPO PTT INVÁLIDO","OK"),"OK")))))</f>
        <v/>
      </c>
      <c r="X366" s="52"/>
    </row>
    <row r="367" ht="15.75" customHeight="1">
      <c r="A367" s="52"/>
      <c r="B367" s="28" t="str">
        <f>IF($A367="","",IFERROR(VLOOKUP($A367,'Resumo por docente'!$A$8:$B$57,2,FALSE),""))</f>
        <v/>
      </c>
      <c r="C367" s="38"/>
      <c r="D367" s="57"/>
      <c r="E367" s="38"/>
      <c r="F367" s="52"/>
      <c r="G367" s="38"/>
      <c r="H367" s="38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48" t="str">
        <f>IF($A367="","",IF(OR($C367="",$D367="",$E367="",$F367=""),"INCOMPLETO",IF(OR($D367&lt;2021,$D367&gt;2026),"ANO FORA DA JANELA",IF(OR(LOWER($U367)&lt;&gt;"sim",LOWER($V367)&lt;&gt;"sim",$G367="",$H367="",$J367="",$K367="",$M367="",$N367="",$Q367="",$R367="",$S367=""),"INCOMPLETO",IF(LEFT($C367,3)="PTT",IF(COUNTIF('Estratos e PTTs'!$B$15:$B$30,$E367)=0,"TIPO PTT INVÁLIDO","OK"),"OK")))))</f>
        <v/>
      </c>
      <c r="X367" s="52"/>
    </row>
    <row r="368" ht="15.75" customHeight="1">
      <c r="A368" s="52"/>
      <c r="B368" s="28" t="str">
        <f>IF($A368="","",IFERROR(VLOOKUP($A368,'Resumo por docente'!$A$8:$B$57,2,FALSE),""))</f>
        <v/>
      </c>
      <c r="C368" s="38"/>
      <c r="D368" s="57"/>
      <c r="E368" s="38"/>
      <c r="F368" s="52"/>
      <c r="G368" s="38"/>
      <c r="H368" s="38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48" t="str">
        <f>IF($A368="","",IF(OR($C368="",$D368="",$E368="",$F368=""),"INCOMPLETO",IF(OR($D368&lt;2021,$D368&gt;2026),"ANO FORA DA JANELA",IF(OR(LOWER($U368)&lt;&gt;"sim",LOWER($V368)&lt;&gt;"sim",$G368="",$H368="",$J368="",$K368="",$M368="",$N368="",$Q368="",$R368="",$S368=""),"INCOMPLETO",IF(LEFT($C368,3)="PTT",IF(COUNTIF('Estratos e PTTs'!$B$15:$B$30,$E368)=0,"TIPO PTT INVÁLIDO","OK"),"OK")))))</f>
        <v/>
      </c>
      <c r="X368" s="52"/>
    </row>
    <row r="369" ht="15.75" customHeight="1">
      <c r="A369" s="52"/>
      <c r="B369" s="28" t="str">
        <f>IF($A369="","",IFERROR(VLOOKUP($A369,'Resumo por docente'!$A$8:$B$57,2,FALSE),""))</f>
        <v/>
      </c>
      <c r="C369" s="38"/>
      <c r="D369" s="57"/>
      <c r="E369" s="38"/>
      <c r="F369" s="52"/>
      <c r="G369" s="38"/>
      <c r="H369" s="38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48" t="str">
        <f>IF($A369="","",IF(OR($C369="",$D369="",$E369="",$F369=""),"INCOMPLETO",IF(OR($D369&lt;2021,$D369&gt;2026),"ANO FORA DA JANELA",IF(OR(LOWER($U369)&lt;&gt;"sim",LOWER($V369)&lt;&gt;"sim",$G369="",$H369="",$J369="",$K369="",$M369="",$N369="",$Q369="",$R369="",$S369=""),"INCOMPLETO",IF(LEFT($C369,3)="PTT",IF(COUNTIF('Estratos e PTTs'!$B$15:$B$30,$E369)=0,"TIPO PTT INVÁLIDO","OK"),"OK")))))</f>
        <v/>
      </c>
      <c r="X369" s="52"/>
    </row>
    <row r="370" ht="15.75" customHeight="1">
      <c r="A370" s="52"/>
      <c r="B370" s="28" t="str">
        <f>IF($A370="","",IFERROR(VLOOKUP($A370,'Resumo por docente'!$A$8:$B$57,2,FALSE),""))</f>
        <v/>
      </c>
      <c r="C370" s="38"/>
      <c r="D370" s="57"/>
      <c r="E370" s="38"/>
      <c r="F370" s="52"/>
      <c r="G370" s="38"/>
      <c r="H370" s="38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48" t="str">
        <f>IF($A370="","",IF(OR($C370="",$D370="",$E370="",$F370=""),"INCOMPLETO",IF(OR($D370&lt;2021,$D370&gt;2026),"ANO FORA DA JANELA",IF(OR(LOWER($U370)&lt;&gt;"sim",LOWER($V370)&lt;&gt;"sim",$G370="",$H370="",$J370="",$K370="",$M370="",$N370="",$Q370="",$R370="",$S370=""),"INCOMPLETO",IF(LEFT($C370,3)="PTT",IF(COUNTIF('Estratos e PTTs'!$B$15:$B$30,$E370)=0,"TIPO PTT INVÁLIDO","OK"),"OK")))))</f>
        <v/>
      </c>
      <c r="X370" s="52"/>
    </row>
    <row r="371" ht="15.75" customHeight="1">
      <c r="A371" s="52"/>
      <c r="B371" s="28" t="str">
        <f>IF($A371="","",IFERROR(VLOOKUP($A371,'Resumo por docente'!$A$8:$B$57,2,FALSE),""))</f>
        <v/>
      </c>
      <c r="C371" s="38"/>
      <c r="D371" s="57"/>
      <c r="E371" s="38"/>
      <c r="F371" s="52"/>
      <c r="G371" s="38"/>
      <c r="H371" s="38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48" t="str">
        <f>IF($A371="","",IF(OR($C371="",$D371="",$E371="",$F371=""),"INCOMPLETO",IF(OR($D371&lt;2021,$D371&gt;2026),"ANO FORA DA JANELA",IF(OR(LOWER($U371)&lt;&gt;"sim",LOWER($V371)&lt;&gt;"sim",$G371="",$H371="",$J371="",$K371="",$M371="",$N371="",$Q371="",$R371="",$S371=""),"INCOMPLETO",IF(LEFT($C371,3)="PTT",IF(COUNTIF('Estratos e PTTs'!$B$15:$B$30,$E371)=0,"TIPO PTT INVÁLIDO","OK"),"OK")))))</f>
        <v/>
      </c>
      <c r="X371" s="52"/>
    </row>
    <row r="372" ht="15.75" customHeight="1">
      <c r="A372" s="52"/>
      <c r="B372" s="28" t="str">
        <f>IF($A372="","",IFERROR(VLOOKUP($A372,'Resumo por docente'!$A$8:$B$57,2,FALSE),""))</f>
        <v/>
      </c>
      <c r="C372" s="38"/>
      <c r="D372" s="57"/>
      <c r="E372" s="38"/>
      <c r="F372" s="52"/>
      <c r="G372" s="38"/>
      <c r="H372" s="38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48" t="str">
        <f>IF($A372="","",IF(OR($C372="",$D372="",$E372="",$F372=""),"INCOMPLETO",IF(OR($D372&lt;2021,$D372&gt;2026),"ANO FORA DA JANELA",IF(OR(LOWER($U372)&lt;&gt;"sim",LOWER($V372)&lt;&gt;"sim",$G372="",$H372="",$J372="",$K372="",$M372="",$N372="",$Q372="",$R372="",$S372=""),"INCOMPLETO",IF(LEFT($C372,3)="PTT",IF(COUNTIF('Estratos e PTTs'!$B$15:$B$30,$E372)=0,"TIPO PTT INVÁLIDO","OK"),"OK")))))</f>
        <v/>
      </c>
      <c r="X372" s="52"/>
    </row>
    <row r="373" ht="15.75" customHeight="1">
      <c r="A373" s="52"/>
      <c r="B373" s="28" t="str">
        <f>IF($A373="","",IFERROR(VLOOKUP($A373,'Resumo por docente'!$A$8:$B$57,2,FALSE),""))</f>
        <v/>
      </c>
      <c r="C373" s="38"/>
      <c r="D373" s="57"/>
      <c r="E373" s="38"/>
      <c r="F373" s="52"/>
      <c r="G373" s="38"/>
      <c r="H373" s="38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48" t="str">
        <f>IF($A373="","",IF(OR($C373="",$D373="",$E373="",$F373=""),"INCOMPLETO",IF(OR($D373&lt;2021,$D373&gt;2026),"ANO FORA DA JANELA",IF(OR(LOWER($U373)&lt;&gt;"sim",LOWER($V373)&lt;&gt;"sim",$G373="",$H373="",$J373="",$K373="",$M373="",$N373="",$Q373="",$R373="",$S373=""),"INCOMPLETO",IF(LEFT($C373,3)="PTT",IF(COUNTIF('Estratos e PTTs'!$B$15:$B$30,$E373)=0,"TIPO PTT INVÁLIDO","OK"),"OK")))))</f>
        <v/>
      </c>
      <c r="X373" s="52"/>
    </row>
    <row r="374" ht="15.75" customHeight="1">
      <c r="A374" s="52"/>
      <c r="B374" s="28" t="str">
        <f>IF($A374="","",IFERROR(VLOOKUP($A374,'Resumo por docente'!$A$8:$B$57,2,FALSE),""))</f>
        <v/>
      </c>
      <c r="C374" s="38"/>
      <c r="D374" s="57"/>
      <c r="E374" s="38"/>
      <c r="F374" s="52"/>
      <c r="G374" s="38"/>
      <c r="H374" s="38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48" t="str">
        <f>IF($A374="","",IF(OR($C374="",$D374="",$E374="",$F374=""),"INCOMPLETO",IF(OR($D374&lt;2021,$D374&gt;2026),"ANO FORA DA JANELA",IF(OR(LOWER($U374)&lt;&gt;"sim",LOWER($V374)&lt;&gt;"sim",$G374="",$H374="",$J374="",$K374="",$M374="",$N374="",$Q374="",$R374="",$S374=""),"INCOMPLETO",IF(LEFT($C374,3)="PTT",IF(COUNTIF('Estratos e PTTs'!$B$15:$B$30,$E374)=0,"TIPO PTT INVÁLIDO","OK"),"OK")))))</f>
        <v/>
      </c>
      <c r="X374" s="52"/>
    </row>
    <row r="375" ht="15.75" customHeight="1">
      <c r="A375" s="52"/>
      <c r="B375" s="28" t="str">
        <f>IF($A375="","",IFERROR(VLOOKUP($A375,'Resumo por docente'!$A$8:$B$57,2,FALSE),""))</f>
        <v/>
      </c>
      <c r="C375" s="38"/>
      <c r="D375" s="57"/>
      <c r="E375" s="38"/>
      <c r="F375" s="52"/>
      <c r="G375" s="38"/>
      <c r="H375" s="38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48" t="str">
        <f>IF($A375="","",IF(OR($C375="",$D375="",$E375="",$F375=""),"INCOMPLETO",IF(OR($D375&lt;2021,$D375&gt;2026),"ANO FORA DA JANELA",IF(OR(LOWER($U375)&lt;&gt;"sim",LOWER($V375)&lt;&gt;"sim",$G375="",$H375="",$J375="",$K375="",$M375="",$N375="",$Q375="",$R375="",$S375=""),"INCOMPLETO",IF(LEFT($C375,3)="PTT",IF(COUNTIF('Estratos e PTTs'!$B$15:$B$30,$E375)=0,"TIPO PTT INVÁLIDO","OK"),"OK")))))</f>
        <v/>
      </c>
      <c r="X375" s="52"/>
    </row>
    <row r="376" ht="15.75" customHeight="1">
      <c r="A376" s="52"/>
      <c r="B376" s="28" t="str">
        <f>IF($A376="","",IFERROR(VLOOKUP($A376,'Resumo por docente'!$A$8:$B$57,2,FALSE),""))</f>
        <v/>
      </c>
      <c r="C376" s="38"/>
      <c r="D376" s="57"/>
      <c r="E376" s="38"/>
      <c r="F376" s="52"/>
      <c r="G376" s="38"/>
      <c r="H376" s="38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48" t="str">
        <f>IF($A376="","",IF(OR($C376="",$D376="",$E376="",$F376=""),"INCOMPLETO",IF(OR($D376&lt;2021,$D376&gt;2026),"ANO FORA DA JANELA",IF(OR(LOWER($U376)&lt;&gt;"sim",LOWER($V376)&lt;&gt;"sim",$G376="",$H376="",$J376="",$K376="",$M376="",$N376="",$Q376="",$R376="",$S376=""),"INCOMPLETO",IF(LEFT($C376,3)="PTT",IF(COUNTIF('Estratos e PTTs'!$B$15:$B$30,$E376)=0,"TIPO PTT INVÁLIDO","OK"),"OK")))))</f>
        <v/>
      </c>
      <c r="X376" s="52"/>
    </row>
    <row r="377" ht="15.75" customHeight="1">
      <c r="A377" s="52"/>
      <c r="B377" s="28" t="str">
        <f>IF($A377="","",IFERROR(VLOOKUP($A377,'Resumo por docente'!$A$8:$B$57,2,FALSE),""))</f>
        <v/>
      </c>
      <c r="C377" s="38"/>
      <c r="D377" s="57"/>
      <c r="E377" s="38"/>
      <c r="F377" s="52"/>
      <c r="G377" s="38"/>
      <c r="H377" s="38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48" t="str">
        <f>IF($A377="","",IF(OR($C377="",$D377="",$E377="",$F377=""),"INCOMPLETO",IF(OR($D377&lt;2021,$D377&gt;2026),"ANO FORA DA JANELA",IF(OR(LOWER($U377)&lt;&gt;"sim",LOWER($V377)&lt;&gt;"sim",$G377="",$H377="",$J377="",$K377="",$M377="",$N377="",$Q377="",$R377="",$S377=""),"INCOMPLETO",IF(LEFT($C377,3)="PTT",IF(COUNTIF('Estratos e PTTs'!$B$15:$B$30,$E377)=0,"TIPO PTT INVÁLIDO","OK"),"OK")))))</f>
        <v/>
      </c>
      <c r="X377" s="52"/>
    </row>
    <row r="378" ht="15.75" customHeight="1">
      <c r="A378" s="52"/>
      <c r="B378" s="28" t="str">
        <f>IF($A378="","",IFERROR(VLOOKUP($A378,'Resumo por docente'!$A$8:$B$57,2,FALSE),""))</f>
        <v/>
      </c>
      <c r="C378" s="38"/>
      <c r="D378" s="57"/>
      <c r="E378" s="38"/>
      <c r="F378" s="52"/>
      <c r="G378" s="38"/>
      <c r="H378" s="38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48" t="str">
        <f>IF($A378="","",IF(OR($C378="",$D378="",$E378="",$F378=""),"INCOMPLETO",IF(OR($D378&lt;2021,$D378&gt;2026),"ANO FORA DA JANELA",IF(OR(LOWER($U378)&lt;&gt;"sim",LOWER($V378)&lt;&gt;"sim",$G378="",$H378="",$J378="",$K378="",$M378="",$N378="",$Q378="",$R378="",$S378=""),"INCOMPLETO",IF(LEFT($C378,3)="PTT",IF(COUNTIF('Estratos e PTTs'!$B$15:$B$30,$E378)=0,"TIPO PTT INVÁLIDO","OK"),"OK")))))</f>
        <v/>
      </c>
      <c r="X378" s="52"/>
    </row>
    <row r="379" ht="15.75" customHeight="1">
      <c r="A379" s="52"/>
      <c r="B379" s="28" t="str">
        <f>IF($A379="","",IFERROR(VLOOKUP($A379,'Resumo por docente'!$A$8:$B$57,2,FALSE),""))</f>
        <v/>
      </c>
      <c r="C379" s="38"/>
      <c r="D379" s="57"/>
      <c r="E379" s="38"/>
      <c r="F379" s="52"/>
      <c r="G379" s="38"/>
      <c r="H379" s="38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48" t="str">
        <f>IF($A379="","",IF(OR($C379="",$D379="",$E379="",$F379=""),"INCOMPLETO",IF(OR($D379&lt;2021,$D379&gt;2026),"ANO FORA DA JANELA",IF(OR(LOWER($U379)&lt;&gt;"sim",LOWER($V379)&lt;&gt;"sim",$G379="",$H379="",$J379="",$K379="",$M379="",$N379="",$Q379="",$R379="",$S379=""),"INCOMPLETO",IF(LEFT($C379,3)="PTT",IF(COUNTIF('Estratos e PTTs'!$B$15:$B$30,$E379)=0,"TIPO PTT INVÁLIDO","OK"),"OK")))))</f>
        <v/>
      </c>
      <c r="X379" s="52"/>
    </row>
    <row r="380" ht="15.75" customHeight="1">
      <c r="A380" s="52"/>
      <c r="B380" s="28" t="str">
        <f>IF($A380="","",IFERROR(VLOOKUP($A380,'Resumo por docente'!$A$8:$B$57,2,FALSE),""))</f>
        <v/>
      </c>
      <c r="C380" s="38"/>
      <c r="D380" s="57"/>
      <c r="E380" s="38"/>
      <c r="F380" s="52"/>
      <c r="G380" s="38"/>
      <c r="H380" s="38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48" t="str">
        <f>IF($A380="","",IF(OR($C380="",$D380="",$E380="",$F380=""),"INCOMPLETO",IF(OR($D380&lt;2021,$D380&gt;2026),"ANO FORA DA JANELA",IF(OR(LOWER($U380)&lt;&gt;"sim",LOWER($V380)&lt;&gt;"sim",$G380="",$H380="",$J380="",$K380="",$M380="",$N380="",$Q380="",$R380="",$S380=""),"INCOMPLETO",IF(LEFT($C380,3)="PTT",IF(COUNTIF('Estratos e PTTs'!$B$15:$B$30,$E380)=0,"TIPO PTT INVÁLIDO","OK"),"OK")))))</f>
        <v/>
      </c>
      <c r="X380" s="52"/>
    </row>
    <row r="381" ht="15.75" customHeight="1">
      <c r="A381" s="52"/>
      <c r="B381" s="28" t="str">
        <f>IF($A381="","",IFERROR(VLOOKUP($A381,'Resumo por docente'!$A$8:$B$57,2,FALSE),""))</f>
        <v/>
      </c>
      <c r="C381" s="38"/>
      <c r="D381" s="57"/>
      <c r="E381" s="38"/>
      <c r="F381" s="52"/>
      <c r="G381" s="38"/>
      <c r="H381" s="38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48" t="str">
        <f>IF($A381="","",IF(OR($C381="",$D381="",$E381="",$F381=""),"INCOMPLETO",IF(OR($D381&lt;2021,$D381&gt;2026),"ANO FORA DA JANELA",IF(OR(LOWER($U381)&lt;&gt;"sim",LOWER($V381)&lt;&gt;"sim",$G381="",$H381="",$J381="",$K381="",$M381="",$N381="",$Q381="",$R381="",$S381=""),"INCOMPLETO",IF(LEFT($C381,3)="PTT",IF(COUNTIF('Estratos e PTTs'!$B$15:$B$30,$E381)=0,"TIPO PTT INVÁLIDO","OK"),"OK")))))</f>
        <v/>
      </c>
      <c r="X381" s="52"/>
    </row>
    <row r="382" ht="15.75" customHeight="1">
      <c r="A382" s="52"/>
      <c r="B382" s="28" t="str">
        <f>IF($A382="","",IFERROR(VLOOKUP($A382,'Resumo por docente'!$A$8:$B$57,2,FALSE),""))</f>
        <v/>
      </c>
      <c r="C382" s="38"/>
      <c r="D382" s="57"/>
      <c r="E382" s="38"/>
      <c r="F382" s="52"/>
      <c r="G382" s="38"/>
      <c r="H382" s="38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48" t="str">
        <f>IF($A382="","",IF(OR($C382="",$D382="",$E382="",$F382=""),"INCOMPLETO",IF(OR($D382&lt;2021,$D382&gt;2026),"ANO FORA DA JANELA",IF(OR(LOWER($U382)&lt;&gt;"sim",LOWER($V382)&lt;&gt;"sim",$G382="",$H382="",$J382="",$K382="",$M382="",$N382="",$Q382="",$R382="",$S382=""),"INCOMPLETO",IF(LEFT($C382,3)="PTT",IF(COUNTIF('Estratos e PTTs'!$B$15:$B$30,$E382)=0,"TIPO PTT INVÁLIDO","OK"),"OK")))))</f>
        <v/>
      </c>
      <c r="X382" s="52"/>
    </row>
    <row r="383" ht="15.75" customHeight="1">
      <c r="A383" s="52"/>
      <c r="B383" s="28" t="str">
        <f>IF($A383="","",IFERROR(VLOOKUP($A383,'Resumo por docente'!$A$8:$B$57,2,FALSE),""))</f>
        <v/>
      </c>
      <c r="C383" s="38"/>
      <c r="D383" s="57"/>
      <c r="E383" s="38"/>
      <c r="F383" s="52"/>
      <c r="G383" s="38"/>
      <c r="H383" s="38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48" t="str">
        <f>IF($A383="","",IF(OR($C383="",$D383="",$E383="",$F383=""),"INCOMPLETO",IF(OR($D383&lt;2021,$D383&gt;2026),"ANO FORA DA JANELA",IF(OR(LOWER($U383)&lt;&gt;"sim",LOWER($V383)&lt;&gt;"sim",$G383="",$H383="",$J383="",$K383="",$M383="",$N383="",$Q383="",$R383="",$S383=""),"INCOMPLETO",IF(LEFT($C383,3)="PTT",IF(COUNTIF('Estratos e PTTs'!$B$15:$B$30,$E383)=0,"TIPO PTT INVÁLIDO","OK"),"OK")))))</f>
        <v/>
      </c>
      <c r="X383" s="52"/>
    </row>
    <row r="384" ht="15.75" customHeight="1">
      <c r="A384" s="52"/>
      <c r="B384" s="28" t="str">
        <f>IF($A384="","",IFERROR(VLOOKUP($A384,'Resumo por docente'!$A$8:$B$57,2,FALSE),""))</f>
        <v/>
      </c>
      <c r="C384" s="38"/>
      <c r="D384" s="57"/>
      <c r="E384" s="38"/>
      <c r="F384" s="52"/>
      <c r="G384" s="38"/>
      <c r="H384" s="38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48" t="str">
        <f>IF($A384="","",IF(OR($C384="",$D384="",$E384="",$F384=""),"INCOMPLETO",IF(OR($D384&lt;2021,$D384&gt;2026),"ANO FORA DA JANELA",IF(OR(LOWER($U384)&lt;&gt;"sim",LOWER($V384)&lt;&gt;"sim",$G384="",$H384="",$J384="",$K384="",$M384="",$N384="",$Q384="",$R384="",$S384=""),"INCOMPLETO",IF(LEFT($C384,3)="PTT",IF(COUNTIF('Estratos e PTTs'!$B$15:$B$30,$E384)=0,"TIPO PTT INVÁLIDO","OK"),"OK")))))</f>
        <v/>
      </c>
      <c r="X384" s="52"/>
    </row>
    <row r="385" ht="15.75" customHeight="1">
      <c r="A385" s="52"/>
      <c r="B385" s="28" t="str">
        <f>IF($A385="","",IFERROR(VLOOKUP($A385,'Resumo por docente'!$A$8:$B$57,2,FALSE),""))</f>
        <v/>
      </c>
      <c r="C385" s="38"/>
      <c r="D385" s="57"/>
      <c r="E385" s="38"/>
      <c r="F385" s="52"/>
      <c r="G385" s="38"/>
      <c r="H385" s="38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48" t="str">
        <f>IF($A385="","",IF(OR($C385="",$D385="",$E385="",$F385=""),"INCOMPLETO",IF(OR($D385&lt;2021,$D385&gt;2026),"ANO FORA DA JANELA",IF(OR(LOWER($U385)&lt;&gt;"sim",LOWER($V385)&lt;&gt;"sim",$G385="",$H385="",$J385="",$K385="",$M385="",$N385="",$Q385="",$R385="",$S385=""),"INCOMPLETO",IF(LEFT($C385,3)="PTT",IF(COUNTIF('Estratos e PTTs'!$B$15:$B$30,$E385)=0,"TIPO PTT INVÁLIDO","OK"),"OK")))))</f>
        <v/>
      </c>
      <c r="X385" s="52"/>
    </row>
    <row r="386" ht="15.75" customHeight="1">
      <c r="A386" s="52"/>
      <c r="B386" s="28" t="str">
        <f>IF($A386="","",IFERROR(VLOOKUP($A386,'Resumo por docente'!$A$8:$B$57,2,FALSE),""))</f>
        <v/>
      </c>
      <c r="C386" s="38"/>
      <c r="D386" s="57"/>
      <c r="E386" s="38"/>
      <c r="F386" s="52"/>
      <c r="G386" s="38"/>
      <c r="H386" s="38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48" t="str">
        <f>IF($A386="","",IF(OR($C386="",$D386="",$E386="",$F386=""),"INCOMPLETO",IF(OR($D386&lt;2021,$D386&gt;2026),"ANO FORA DA JANELA",IF(OR(LOWER($U386)&lt;&gt;"sim",LOWER($V386)&lt;&gt;"sim",$G386="",$H386="",$J386="",$K386="",$M386="",$N386="",$Q386="",$R386="",$S386=""),"INCOMPLETO",IF(LEFT($C386,3)="PTT",IF(COUNTIF('Estratos e PTTs'!$B$15:$B$30,$E386)=0,"TIPO PTT INVÁLIDO","OK"),"OK")))))</f>
        <v/>
      </c>
      <c r="X386" s="52"/>
    </row>
    <row r="387" ht="15.75" customHeight="1">
      <c r="A387" s="52"/>
      <c r="B387" s="28" t="str">
        <f>IF($A387="","",IFERROR(VLOOKUP($A387,'Resumo por docente'!$A$8:$B$57,2,FALSE),""))</f>
        <v/>
      </c>
      <c r="C387" s="38"/>
      <c r="D387" s="57"/>
      <c r="E387" s="38"/>
      <c r="F387" s="52"/>
      <c r="G387" s="38"/>
      <c r="H387" s="38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48" t="str">
        <f>IF($A387="","",IF(OR($C387="",$D387="",$E387="",$F387=""),"INCOMPLETO",IF(OR($D387&lt;2021,$D387&gt;2026),"ANO FORA DA JANELA",IF(OR(LOWER($U387)&lt;&gt;"sim",LOWER($V387)&lt;&gt;"sim",$G387="",$H387="",$J387="",$K387="",$M387="",$N387="",$Q387="",$R387="",$S387=""),"INCOMPLETO",IF(LEFT($C387,3)="PTT",IF(COUNTIF('Estratos e PTTs'!$B$15:$B$30,$E387)=0,"TIPO PTT INVÁLIDO","OK"),"OK")))))</f>
        <v/>
      </c>
      <c r="X387" s="52"/>
    </row>
    <row r="388" ht="15.75" customHeight="1">
      <c r="A388" s="52"/>
      <c r="B388" s="28" t="str">
        <f>IF($A388="","",IFERROR(VLOOKUP($A388,'Resumo por docente'!$A$8:$B$57,2,FALSE),""))</f>
        <v/>
      </c>
      <c r="C388" s="38"/>
      <c r="D388" s="57"/>
      <c r="E388" s="38"/>
      <c r="F388" s="52"/>
      <c r="G388" s="38"/>
      <c r="H388" s="38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48" t="str">
        <f>IF($A388="","",IF(OR($C388="",$D388="",$E388="",$F388=""),"INCOMPLETO",IF(OR($D388&lt;2021,$D388&gt;2026),"ANO FORA DA JANELA",IF(OR(LOWER($U388)&lt;&gt;"sim",LOWER($V388)&lt;&gt;"sim",$G388="",$H388="",$J388="",$K388="",$M388="",$N388="",$Q388="",$R388="",$S388=""),"INCOMPLETO",IF(LEFT($C388,3)="PTT",IF(COUNTIF('Estratos e PTTs'!$B$15:$B$30,$E388)=0,"TIPO PTT INVÁLIDO","OK"),"OK")))))</f>
        <v/>
      </c>
      <c r="X388" s="52"/>
    </row>
    <row r="389" ht="15.75" customHeight="1">
      <c r="A389" s="52"/>
      <c r="B389" s="28" t="str">
        <f>IF($A389="","",IFERROR(VLOOKUP($A389,'Resumo por docente'!$A$8:$B$57,2,FALSE),""))</f>
        <v/>
      </c>
      <c r="C389" s="38"/>
      <c r="D389" s="57"/>
      <c r="E389" s="38"/>
      <c r="F389" s="52"/>
      <c r="G389" s="38"/>
      <c r="H389" s="38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48" t="str">
        <f>IF($A389="","",IF(OR($C389="",$D389="",$E389="",$F389=""),"INCOMPLETO",IF(OR($D389&lt;2021,$D389&gt;2026),"ANO FORA DA JANELA",IF(OR(LOWER($U389)&lt;&gt;"sim",LOWER($V389)&lt;&gt;"sim",$G389="",$H389="",$J389="",$K389="",$M389="",$N389="",$Q389="",$R389="",$S389=""),"INCOMPLETO",IF(LEFT($C389,3)="PTT",IF(COUNTIF('Estratos e PTTs'!$B$15:$B$30,$E389)=0,"TIPO PTT INVÁLIDO","OK"),"OK")))))</f>
        <v/>
      </c>
      <c r="X389" s="52"/>
    </row>
    <row r="390" ht="15.75" customHeight="1">
      <c r="A390" s="52"/>
      <c r="B390" s="28" t="str">
        <f>IF($A390="","",IFERROR(VLOOKUP($A390,'Resumo por docente'!$A$8:$B$57,2,FALSE),""))</f>
        <v/>
      </c>
      <c r="C390" s="38"/>
      <c r="D390" s="57"/>
      <c r="E390" s="38"/>
      <c r="F390" s="52"/>
      <c r="G390" s="38"/>
      <c r="H390" s="38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48" t="str">
        <f>IF($A390="","",IF(OR($C390="",$D390="",$E390="",$F390=""),"INCOMPLETO",IF(OR($D390&lt;2021,$D390&gt;2026),"ANO FORA DA JANELA",IF(OR(LOWER($U390)&lt;&gt;"sim",LOWER($V390)&lt;&gt;"sim",$G390="",$H390="",$J390="",$K390="",$M390="",$N390="",$Q390="",$R390="",$S390=""),"INCOMPLETO",IF(LEFT($C390,3)="PTT",IF(COUNTIF('Estratos e PTTs'!$B$15:$B$30,$E390)=0,"TIPO PTT INVÁLIDO","OK"),"OK")))))</f>
        <v/>
      </c>
      <c r="X390" s="52"/>
    </row>
    <row r="391" ht="15.75" customHeight="1">
      <c r="A391" s="52"/>
      <c r="B391" s="28" t="str">
        <f>IF($A391="","",IFERROR(VLOOKUP($A391,'Resumo por docente'!$A$8:$B$57,2,FALSE),""))</f>
        <v/>
      </c>
      <c r="C391" s="38"/>
      <c r="D391" s="57"/>
      <c r="E391" s="38"/>
      <c r="F391" s="52"/>
      <c r="G391" s="38"/>
      <c r="H391" s="38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48" t="str">
        <f>IF($A391="","",IF(OR($C391="",$D391="",$E391="",$F391=""),"INCOMPLETO",IF(OR($D391&lt;2021,$D391&gt;2026),"ANO FORA DA JANELA",IF(OR(LOWER($U391)&lt;&gt;"sim",LOWER($V391)&lt;&gt;"sim",$G391="",$H391="",$J391="",$K391="",$M391="",$N391="",$Q391="",$R391="",$S391=""),"INCOMPLETO",IF(LEFT($C391,3)="PTT",IF(COUNTIF('Estratos e PTTs'!$B$15:$B$30,$E391)=0,"TIPO PTT INVÁLIDO","OK"),"OK")))))</f>
        <v/>
      </c>
      <c r="X391" s="52"/>
    </row>
    <row r="392" ht="15.75" customHeight="1">
      <c r="A392" s="52"/>
      <c r="B392" s="28" t="str">
        <f>IF($A392="","",IFERROR(VLOOKUP($A392,'Resumo por docente'!$A$8:$B$57,2,FALSE),""))</f>
        <v/>
      </c>
      <c r="C392" s="38"/>
      <c r="D392" s="57"/>
      <c r="E392" s="38"/>
      <c r="F392" s="52"/>
      <c r="G392" s="38"/>
      <c r="H392" s="38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48" t="str">
        <f>IF($A392="","",IF(OR($C392="",$D392="",$E392="",$F392=""),"INCOMPLETO",IF(OR($D392&lt;2021,$D392&gt;2026),"ANO FORA DA JANELA",IF(OR(LOWER($U392)&lt;&gt;"sim",LOWER($V392)&lt;&gt;"sim",$G392="",$H392="",$J392="",$K392="",$M392="",$N392="",$Q392="",$R392="",$S392=""),"INCOMPLETO",IF(LEFT($C392,3)="PTT",IF(COUNTIF('Estratos e PTTs'!$B$15:$B$30,$E392)=0,"TIPO PTT INVÁLIDO","OK"),"OK")))))</f>
        <v/>
      </c>
      <c r="X392" s="52"/>
    </row>
    <row r="393" ht="15.75" customHeight="1">
      <c r="A393" s="52"/>
      <c r="B393" s="28" t="str">
        <f>IF($A393="","",IFERROR(VLOOKUP($A393,'Resumo por docente'!$A$8:$B$57,2,FALSE),""))</f>
        <v/>
      </c>
      <c r="C393" s="38"/>
      <c r="D393" s="57"/>
      <c r="E393" s="38"/>
      <c r="F393" s="52"/>
      <c r="G393" s="38"/>
      <c r="H393" s="38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48" t="str">
        <f>IF($A393="","",IF(OR($C393="",$D393="",$E393="",$F393=""),"INCOMPLETO",IF(OR($D393&lt;2021,$D393&gt;2026),"ANO FORA DA JANELA",IF(OR(LOWER($U393)&lt;&gt;"sim",LOWER($V393)&lt;&gt;"sim",$G393="",$H393="",$J393="",$K393="",$M393="",$N393="",$Q393="",$R393="",$S393=""),"INCOMPLETO",IF(LEFT($C393,3)="PTT",IF(COUNTIF('Estratos e PTTs'!$B$15:$B$30,$E393)=0,"TIPO PTT INVÁLIDO","OK"),"OK")))))</f>
        <v/>
      </c>
      <c r="X393" s="52"/>
    </row>
    <row r="394" ht="15.75" customHeight="1">
      <c r="A394" s="52"/>
      <c r="B394" s="28" t="str">
        <f>IF($A394="","",IFERROR(VLOOKUP($A394,'Resumo por docente'!$A$8:$B$57,2,FALSE),""))</f>
        <v/>
      </c>
      <c r="C394" s="38"/>
      <c r="D394" s="57"/>
      <c r="E394" s="38"/>
      <c r="F394" s="52"/>
      <c r="G394" s="38"/>
      <c r="H394" s="38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48" t="str">
        <f>IF($A394="","",IF(OR($C394="",$D394="",$E394="",$F394=""),"INCOMPLETO",IF(OR($D394&lt;2021,$D394&gt;2026),"ANO FORA DA JANELA",IF(OR(LOWER($U394)&lt;&gt;"sim",LOWER($V394)&lt;&gt;"sim",$G394="",$H394="",$J394="",$K394="",$M394="",$N394="",$Q394="",$R394="",$S394=""),"INCOMPLETO",IF(LEFT($C394,3)="PTT",IF(COUNTIF('Estratos e PTTs'!$B$15:$B$30,$E394)=0,"TIPO PTT INVÁLIDO","OK"),"OK")))))</f>
        <v/>
      </c>
      <c r="X394" s="52"/>
    </row>
    <row r="395" ht="15.75" customHeight="1">
      <c r="A395" s="52"/>
      <c r="B395" s="28" t="str">
        <f>IF($A395="","",IFERROR(VLOOKUP($A395,'Resumo por docente'!$A$8:$B$57,2,FALSE),""))</f>
        <v/>
      </c>
      <c r="C395" s="38"/>
      <c r="D395" s="57"/>
      <c r="E395" s="38"/>
      <c r="F395" s="52"/>
      <c r="G395" s="38"/>
      <c r="H395" s="38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48" t="str">
        <f>IF($A395="","",IF(OR($C395="",$D395="",$E395="",$F395=""),"INCOMPLETO",IF(OR($D395&lt;2021,$D395&gt;2026),"ANO FORA DA JANELA",IF(OR(LOWER($U395)&lt;&gt;"sim",LOWER($V395)&lt;&gt;"sim",$G395="",$H395="",$J395="",$K395="",$M395="",$N395="",$Q395="",$R395="",$S395=""),"INCOMPLETO",IF(LEFT($C395,3)="PTT",IF(COUNTIF('Estratos e PTTs'!$B$15:$B$30,$E395)=0,"TIPO PTT INVÁLIDO","OK"),"OK")))))</f>
        <v/>
      </c>
      <c r="X395" s="52"/>
    </row>
    <row r="396" ht="15.75" customHeight="1">
      <c r="A396" s="52"/>
      <c r="B396" s="28" t="str">
        <f>IF($A396="","",IFERROR(VLOOKUP($A396,'Resumo por docente'!$A$8:$B$57,2,FALSE),""))</f>
        <v/>
      </c>
      <c r="C396" s="38"/>
      <c r="D396" s="57"/>
      <c r="E396" s="38"/>
      <c r="F396" s="52"/>
      <c r="G396" s="38"/>
      <c r="H396" s="38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48" t="str">
        <f>IF($A396="","",IF(OR($C396="",$D396="",$E396="",$F396=""),"INCOMPLETO",IF(OR($D396&lt;2021,$D396&gt;2026),"ANO FORA DA JANELA",IF(OR(LOWER($U396)&lt;&gt;"sim",LOWER($V396)&lt;&gt;"sim",$G396="",$H396="",$J396="",$K396="",$M396="",$N396="",$Q396="",$R396="",$S396=""),"INCOMPLETO",IF(LEFT($C396,3)="PTT",IF(COUNTIF('Estratos e PTTs'!$B$15:$B$30,$E396)=0,"TIPO PTT INVÁLIDO","OK"),"OK")))))</f>
        <v/>
      </c>
      <c r="X396" s="52"/>
    </row>
    <row r="397" ht="15.75" customHeight="1">
      <c r="A397" s="52"/>
      <c r="B397" s="28" t="str">
        <f>IF($A397="","",IFERROR(VLOOKUP($A397,'Resumo por docente'!$A$8:$B$57,2,FALSE),""))</f>
        <v/>
      </c>
      <c r="C397" s="38"/>
      <c r="D397" s="57"/>
      <c r="E397" s="38"/>
      <c r="F397" s="52"/>
      <c r="G397" s="38"/>
      <c r="H397" s="38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48" t="str">
        <f>IF($A397="","",IF(OR($C397="",$D397="",$E397="",$F397=""),"INCOMPLETO",IF(OR($D397&lt;2021,$D397&gt;2026),"ANO FORA DA JANELA",IF(OR(LOWER($U397)&lt;&gt;"sim",LOWER($V397)&lt;&gt;"sim",$G397="",$H397="",$J397="",$K397="",$M397="",$N397="",$Q397="",$R397="",$S397=""),"INCOMPLETO",IF(LEFT($C397,3)="PTT",IF(COUNTIF('Estratos e PTTs'!$B$15:$B$30,$E397)=0,"TIPO PTT INVÁLIDO","OK"),"OK")))))</f>
        <v/>
      </c>
      <c r="X397" s="52"/>
    </row>
    <row r="398" ht="15.75" customHeight="1">
      <c r="A398" s="52"/>
      <c r="B398" s="28" t="str">
        <f>IF($A398="","",IFERROR(VLOOKUP($A398,'Resumo por docente'!$A$8:$B$57,2,FALSE),""))</f>
        <v/>
      </c>
      <c r="C398" s="38"/>
      <c r="D398" s="57"/>
      <c r="E398" s="38"/>
      <c r="F398" s="52"/>
      <c r="G398" s="38"/>
      <c r="H398" s="38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48" t="str">
        <f>IF($A398="","",IF(OR($C398="",$D398="",$E398="",$F398=""),"INCOMPLETO",IF(OR($D398&lt;2021,$D398&gt;2026),"ANO FORA DA JANELA",IF(OR(LOWER($U398)&lt;&gt;"sim",LOWER($V398)&lt;&gt;"sim",$G398="",$H398="",$J398="",$K398="",$M398="",$N398="",$Q398="",$R398="",$S398=""),"INCOMPLETO",IF(LEFT($C398,3)="PTT",IF(COUNTIF('Estratos e PTTs'!$B$15:$B$30,$E398)=0,"TIPO PTT INVÁLIDO","OK"),"OK")))))</f>
        <v/>
      </c>
      <c r="X398" s="52"/>
    </row>
    <row r="399" ht="15.75" customHeight="1">
      <c r="A399" s="52"/>
      <c r="B399" s="28" t="str">
        <f>IF($A399="","",IFERROR(VLOOKUP($A399,'Resumo por docente'!$A$8:$B$57,2,FALSE),""))</f>
        <v/>
      </c>
      <c r="C399" s="38"/>
      <c r="D399" s="57"/>
      <c r="E399" s="38"/>
      <c r="F399" s="52"/>
      <c r="G399" s="38"/>
      <c r="H399" s="38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48" t="str">
        <f>IF($A399="","",IF(OR($C399="",$D399="",$E399="",$F399=""),"INCOMPLETO",IF(OR($D399&lt;2021,$D399&gt;2026),"ANO FORA DA JANELA",IF(OR(LOWER($U399)&lt;&gt;"sim",LOWER($V399)&lt;&gt;"sim",$G399="",$H399="",$J399="",$K399="",$M399="",$N399="",$Q399="",$R399="",$S399=""),"INCOMPLETO",IF(LEFT($C399,3)="PTT",IF(COUNTIF('Estratos e PTTs'!$B$15:$B$30,$E399)=0,"TIPO PTT INVÁLIDO","OK"),"OK")))))</f>
        <v/>
      </c>
      <c r="X399" s="52"/>
    </row>
    <row r="400" ht="15.75" customHeight="1">
      <c r="A400" s="52"/>
      <c r="B400" s="28" t="str">
        <f>IF($A400="","",IFERROR(VLOOKUP($A400,'Resumo por docente'!$A$8:$B$57,2,FALSE),""))</f>
        <v/>
      </c>
      <c r="C400" s="38"/>
      <c r="D400" s="57"/>
      <c r="E400" s="38"/>
      <c r="F400" s="52"/>
      <c r="G400" s="38"/>
      <c r="H400" s="38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48" t="str">
        <f>IF($A400="","",IF(OR($C400="",$D400="",$E400="",$F400=""),"INCOMPLETO",IF(OR($D400&lt;2021,$D400&gt;2026),"ANO FORA DA JANELA",IF(OR(LOWER($U400)&lt;&gt;"sim",LOWER($V400)&lt;&gt;"sim",$G400="",$H400="",$J400="",$K400="",$M400="",$N400="",$Q400="",$R400="",$S400=""),"INCOMPLETO",IF(LEFT($C400,3)="PTT",IF(COUNTIF('Estratos e PTTs'!$B$15:$B$30,$E400)=0,"TIPO PTT INVÁLIDO","OK"),"OK")))))</f>
        <v/>
      </c>
      <c r="X400" s="52"/>
    </row>
    <row r="401" ht="15.75" customHeight="1">
      <c r="A401" s="52"/>
      <c r="B401" s="28" t="str">
        <f>IF($A401="","",IFERROR(VLOOKUP($A401,'Resumo por docente'!$A$8:$B$57,2,FALSE),""))</f>
        <v/>
      </c>
      <c r="C401" s="38"/>
      <c r="D401" s="57"/>
      <c r="E401" s="38"/>
      <c r="F401" s="52"/>
      <c r="G401" s="38"/>
      <c r="H401" s="38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48" t="str">
        <f>IF($A401="","",IF(OR($C401="",$D401="",$E401="",$F401=""),"INCOMPLETO",IF(OR($D401&lt;2021,$D401&gt;2026),"ANO FORA DA JANELA",IF(OR(LOWER($U401)&lt;&gt;"sim",LOWER($V401)&lt;&gt;"sim",$G401="",$H401="",$J401="",$K401="",$M401="",$N401="",$Q401="",$R401="",$S401=""),"INCOMPLETO",IF(LEFT($C401,3)="PTT",IF(COUNTIF('Estratos e PTTs'!$B$15:$B$30,$E401)=0,"TIPO PTT INVÁLIDO","OK"),"OK")))))</f>
        <v/>
      </c>
      <c r="X401" s="52"/>
    </row>
    <row r="402" ht="15.75" customHeight="1">
      <c r="A402" s="52"/>
      <c r="B402" s="28" t="str">
        <f>IF($A402="","",IFERROR(VLOOKUP($A402,'Resumo por docente'!$A$8:$B$57,2,FALSE),""))</f>
        <v/>
      </c>
      <c r="C402" s="38"/>
      <c r="D402" s="57"/>
      <c r="E402" s="38"/>
      <c r="F402" s="52"/>
      <c r="G402" s="38"/>
      <c r="H402" s="38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48" t="str">
        <f>IF($A402="","",IF(OR($C402="",$D402="",$E402="",$F402=""),"INCOMPLETO",IF(OR($D402&lt;2021,$D402&gt;2026),"ANO FORA DA JANELA",IF(OR(LOWER($U402)&lt;&gt;"sim",LOWER($V402)&lt;&gt;"sim",$G402="",$H402="",$J402="",$K402="",$M402="",$N402="",$Q402="",$R402="",$S402=""),"INCOMPLETO",IF(LEFT($C402,3)="PTT",IF(COUNTIF('Estratos e PTTs'!$B$15:$B$30,$E402)=0,"TIPO PTT INVÁLIDO","OK"),"OK")))))</f>
        <v/>
      </c>
      <c r="X402" s="52"/>
    </row>
    <row r="403" ht="15.75" customHeight="1">
      <c r="A403" s="52"/>
      <c r="B403" s="28" t="str">
        <f>IF($A403="","",IFERROR(VLOOKUP($A403,'Resumo por docente'!$A$8:$B$57,2,FALSE),""))</f>
        <v/>
      </c>
      <c r="C403" s="38"/>
      <c r="D403" s="57"/>
      <c r="E403" s="38"/>
      <c r="F403" s="52"/>
      <c r="G403" s="38"/>
      <c r="H403" s="38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48" t="str">
        <f>IF($A403="","",IF(OR($C403="",$D403="",$E403="",$F403=""),"INCOMPLETO",IF(OR($D403&lt;2021,$D403&gt;2026),"ANO FORA DA JANELA",IF(OR(LOWER($U403)&lt;&gt;"sim",LOWER($V403)&lt;&gt;"sim",$G403="",$H403="",$J403="",$K403="",$M403="",$N403="",$Q403="",$R403="",$S403=""),"INCOMPLETO",IF(LEFT($C403,3)="PTT",IF(COUNTIF('Estratos e PTTs'!$B$15:$B$30,$E403)=0,"TIPO PTT INVÁLIDO","OK"),"OK")))))</f>
        <v/>
      </c>
      <c r="X403" s="52"/>
    </row>
    <row r="404" ht="15.75" customHeight="1">
      <c r="A404" s="52"/>
      <c r="B404" s="28" t="str">
        <f>IF($A404="","",IFERROR(VLOOKUP($A404,'Resumo por docente'!$A$8:$B$57,2,FALSE),""))</f>
        <v/>
      </c>
      <c r="C404" s="38"/>
      <c r="D404" s="57"/>
      <c r="E404" s="38"/>
      <c r="F404" s="52"/>
      <c r="G404" s="38"/>
      <c r="H404" s="38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48" t="str">
        <f>IF($A404="","",IF(OR($C404="",$D404="",$E404="",$F404=""),"INCOMPLETO",IF(OR($D404&lt;2021,$D404&gt;2026),"ANO FORA DA JANELA",IF(OR(LOWER($U404)&lt;&gt;"sim",LOWER($V404)&lt;&gt;"sim",$G404="",$H404="",$J404="",$K404="",$M404="",$N404="",$Q404="",$R404="",$S404=""),"INCOMPLETO",IF(LEFT($C404,3)="PTT",IF(COUNTIF('Estratos e PTTs'!$B$15:$B$30,$E404)=0,"TIPO PTT INVÁLIDO","OK"),"OK")))))</f>
        <v/>
      </c>
      <c r="X404" s="52"/>
    </row>
    <row r="405" ht="15.75" customHeight="1">
      <c r="A405" s="52"/>
      <c r="B405" s="28" t="str">
        <f>IF($A405="","",IFERROR(VLOOKUP($A405,'Resumo por docente'!$A$8:$B$57,2,FALSE),""))</f>
        <v/>
      </c>
      <c r="C405" s="38"/>
      <c r="D405" s="57"/>
      <c r="E405" s="38"/>
      <c r="F405" s="52"/>
      <c r="G405" s="38"/>
      <c r="H405" s="38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48" t="str">
        <f>IF($A405="","",IF(OR($C405="",$D405="",$E405="",$F405=""),"INCOMPLETO",IF(OR($D405&lt;2021,$D405&gt;2026),"ANO FORA DA JANELA",IF(OR(LOWER($U405)&lt;&gt;"sim",LOWER($V405)&lt;&gt;"sim",$G405="",$H405="",$J405="",$K405="",$M405="",$N405="",$Q405="",$R405="",$S405=""),"INCOMPLETO",IF(LEFT($C405,3)="PTT",IF(COUNTIF('Estratos e PTTs'!$B$15:$B$30,$E405)=0,"TIPO PTT INVÁLIDO","OK"),"OK")))))</f>
        <v/>
      </c>
      <c r="X405" s="52"/>
    </row>
    <row r="406" ht="15.75" customHeight="1">
      <c r="A406" s="52"/>
      <c r="B406" s="28" t="str">
        <f>IF($A406="","",IFERROR(VLOOKUP($A406,'Resumo por docente'!$A$8:$B$57,2,FALSE),""))</f>
        <v/>
      </c>
      <c r="C406" s="38"/>
      <c r="D406" s="57"/>
      <c r="E406" s="38"/>
      <c r="F406" s="52"/>
      <c r="G406" s="38"/>
      <c r="H406" s="38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48" t="str">
        <f>IF($A406="","",IF(OR($C406="",$D406="",$E406="",$F406=""),"INCOMPLETO",IF(OR($D406&lt;2021,$D406&gt;2026),"ANO FORA DA JANELA",IF(OR(LOWER($U406)&lt;&gt;"sim",LOWER($V406)&lt;&gt;"sim",$G406="",$H406="",$J406="",$K406="",$M406="",$N406="",$Q406="",$R406="",$S406=""),"INCOMPLETO",IF(LEFT($C406,3)="PTT",IF(COUNTIF('Estratos e PTTs'!$B$15:$B$30,$E406)=0,"TIPO PTT INVÁLIDO","OK"),"OK")))))</f>
        <v/>
      </c>
      <c r="X406" s="52"/>
    </row>
    <row r="407" ht="15.75" customHeight="1">
      <c r="A407" s="52"/>
      <c r="B407" s="28" t="str">
        <f>IF($A407="","",IFERROR(VLOOKUP($A407,'Resumo por docente'!$A$8:$B$57,2,FALSE),""))</f>
        <v/>
      </c>
      <c r="C407" s="38"/>
      <c r="D407" s="57"/>
      <c r="E407" s="38"/>
      <c r="F407" s="52"/>
      <c r="G407" s="38"/>
      <c r="H407" s="38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48" t="str">
        <f>IF($A407="","",IF(OR($C407="",$D407="",$E407="",$F407=""),"INCOMPLETO",IF(OR($D407&lt;2021,$D407&gt;2026),"ANO FORA DA JANELA",IF(OR(LOWER($U407)&lt;&gt;"sim",LOWER($V407)&lt;&gt;"sim",$G407="",$H407="",$J407="",$K407="",$M407="",$N407="",$Q407="",$R407="",$S407=""),"INCOMPLETO",IF(LEFT($C407,3)="PTT",IF(COUNTIF('Estratos e PTTs'!$B$15:$B$30,$E407)=0,"TIPO PTT INVÁLIDO","OK"),"OK")))))</f>
        <v/>
      </c>
      <c r="X407" s="52"/>
    </row>
    <row r="408" ht="15.75" customHeight="1">
      <c r="A408" s="52"/>
      <c r="B408" s="28" t="str">
        <f>IF($A408="","",IFERROR(VLOOKUP($A408,'Resumo por docente'!$A$8:$B$57,2,FALSE),""))</f>
        <v/>
      </c>
      <c r="C408" s="38"/>
      <c r="D408" s="57"/>
      <c r="E408" s="38"/>
      <c r="F408" s="52"/>
      <c r="G408" s="38"/>
      <c r="H408" s="38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48" t="str">
        <f>IF($A408="","",IF(OR($C408="",$D408="",$E408="",$F408=""),"INCOMPLETO",IF(OR($D408&lt;2021,$D408&gt;2026),"ANO FORA DA JANELA",IF(OR(LOWER($U408)&lt;&gt;"sim",LOWER($V408)&lt;&gt;"sim",$G408="",$H408="",$J408="",$K408="",$M408="",$N408="",$Q408="",$R408="",$S408=""),"INCOMPLETO",IF(LEFT($C408,3)="PTT",IF(COUNTIF('Estratos e PTTs'!$B$15:$B$30,$E408)=0,"TIPO PTT INVÁLIDO","OK"),"OK")))))</f>
        <v/>
      </c>
      <c r="X408" s="52"/>
    </row>
    <row r="409" ht="15.75" customHeight="1">
      <c r="A409" s="52"/>
      <c r="B409" s="28" t="str">
        <f>IF($A409="","",IFERROR(VLOOKUP($A409,'Resumo por docente'!$A$8:$B$57,2,FALSE),""))</f>
        <v/>
      </c>
      <c r="C409" s="38"/>
      <c r="D409" s="57"/>
      <c r="E409" s="38"/>
      <c r="F409" s="52"/>
      <c r="G409" s="38"/>
      <c r="H409" s="38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48" t="str">
        <f>IF($A409="","",IF(OR($C409="",$D409="",$E409="",$F409=""),"INCOMPLETO",IF(OR($D409&lt;2021,$D409&gt;2026),"ANO FORA DA JANELA",IF(OR(LOWER($U409)&lt;&gt;"sim",LOWER($V409)&lt;&gt;"sim",$G409="",$H409="",$J409="",$K409="",$M409="",$N409="",$Q409="",$R409="",$S409=""),"INCOMPLETO",IF(LEFT($C409,3)="PTT",IF(COUNTIF('Estratos e PTTs'!$B$15:$B$30,$E409)=0,"TIPO PTT INVÁLIDO","OK"),"OK")))))</f>
        <v/>
      </c>
      <c r="X409" s="52"/>
    </row>
    <row r="410" ht="15.75" customHeight="1">
      <c r="A410" s="52"/>
      <c r="B410" s="28" t="str">
        <f>IF($A410="","",IFERROR(VLOOKUP($A410,'Resumo por docente'!$A$8:$B$57,2,FALSE),""))</f>
        <v/>
      </c>
      <c r="C410" s="38"/>
      <c r="D410" s="57"/>
      <c r="E410" s="38"/>
      <c r="F410" s="52"/>
      <c r="G410" s="38"/>
      <c r="H410" s="38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48" t="str">
        <f>IF($A410="","",IF(OR($C410="",$D410="",$E410="",$F410=""),"INCOMPLETO",IF(OR($D410&lt;2021,$D410&gt;2026),"ANO FORA DA JANELA",IF(OR(LOWER($U410)&lt;&gt;"sim",LOWER($V410)&lt;&gt;"sim",$G410="",$H410="",$J410="",$K410="",$M410="",$N410="",$Q410="",$R410="",$S410=""),"INCOMPLETO",IF(LEFT($C410,3)="PTT",IF(COUNTIF('Estratos e PTTs'!$B$15:$B$30,$E410)=0,"TIPO PTT INVÁLIDO","OK"),"OK")))))</f>
        <v/>
      </c>
      <c r="X410" s="52"/>
    </row>
    <row r="411" ht="15.75" customHeight="1">
      <c r="A411" s="52"/>
      <c r="B411" s="28" t="str">
        <f>IF($A411="","",IFERROR(VLOOKUP($A411,'Resumo por docente'!$A$8:$B$57,2,FALSE),""))</f>
        <v/>
      </c>
      <c r="C411" s="38"/>
      <c r="D411" s="57"/>
      <c r="E411" s="38"/>
      <c r="F411" s="52"/>
      <c r="G411" s="38"/>
      <c r="H411" s="38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48" t="str">
        <f>IF($A411="","",IF(OR($C411="",$D411="",$E411="",$F411=""),"INCOMPLETO",IF(OR($D411&lt;2021,$D411&gt;2026),"ANO FORA DA JANELA",IF(OR(LOWER($U411)&lt;&gt;"sim",LOWER($V411)&lt;&gt;"sim",$G411="",$H411="",$J411="",$K411="",$M411="",$N411="",$Q411="",$R411="",$S411=""),"INCOMPLETO",IF(LEFT($C411,3)="PTT",IF(COUNTIF('Estratos e PTTs'!$B$15:$B$30,$E411)=0,"TIPO PTT INVÁLIDO","OK"),"OK")))))</f>
        <v/>
      </c>
      <c r="X411" s="52"/>
    </row>
    <row r="412" ht="15.75" customHeight="1">
      <c r="A412" s="52"/>
      <c r="B412" s="28" t="str">
        <f>IF($A412="","",IFERROR(VLOOKUP($A412,'Resumo por docente'!$A$8:$B$57,2,FALSE),""))</f>
        <v/>
      </c>
      <c r="C412" s="38"/>
      <c r="D412" s="57"/>
      <c r="E412" s="38"/>
      <c r="F412" s="52"/>
      <c r="G412" s="38"/>
      <c r="H412" s="38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48" t="str">
        <f>IF($A412="","",IF(OR($C412="",$D412="",$E412="",$F412=""),"INCOMPLETO",IF(OR($D412&lt;2021,$D412&gt;2026),"ANO FORA DA JANELA",IF(OR(LOWER($U412)&lt;&gt;"sim",LOWER($V412)&lt;&gt;"sim",$G412="",$H412="",$J412="",$K412="",$M412="",$N412="",$Q412="",$R412="",$S412=""),"INCOMPLETO",IF(LEFT($C412,3)="PTT",IF(COUNTIF('Estratos e PTTs'!$B$15:$B$30,$E412)=0,"TIPO PTT INVÁLIDO","OK"),"OK")))))</f>
        <v/>
      </c>
      <c r="X412" s="52"/>
    </row>
    <row r="413" ht="15.75" customHeight="1">
      <c r="A413" s="52"/>
      <c r="B413" s="28" t="str">
        <f>IF($A413="","",IFERROR(VLOOKUP($A413,'Resumo por docente'!$A$8:$B$57,2,FALSE),""))</f>
        <v/>
      </c>
      <c r="C413" s="38"/>
      <c r="D413" s="57"/>
      <c r="E413" s="38"/>
      <c r="F413" s="52"/>
      <c r="G413" s="38"/>
      <c r="H413" s="38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48" t="str">
        <f>IF($A413="","",IF(OR($C413="",$D413="",$E413="",$F413=""),"INCOMPLETO",IF(OR($D413&lt;2021,$D413&gt;2026),"ANO FORA DA JANELA",IF(OR(LOWER($U413)&lt;&gt;"sim",LOWER($V413)&lt;&gt;"sim",$G413="",$H413="",$J413="",$K413="",$M413="",$N413="",$Q413="",$R413="",$S413=""),"INCOMPLETO",IF(LEFT($C413,3)="PTT",IF(COUNTIF('Estratos e PTTs'!$B$15:$B$30,$E413)=0,"TIPO PTT INVÁLIDO","OK"),"OK")))))</f>
        <v/>
      </c>
      <c r="X413" s="52"/>
    </row>
    <row r="414" ht="15.75" customHeight="1">
      <c r="A414" s="52"/>
      <c r="B414" s="28" t="str">
        <f>IF($A414="","",IFERROR(VLOOKUP($A414,'Resumo por docente'!$A$8:$B$57,2,FALSE),""))</f>
        <v/>
      </c>
      <c r="C414" s="38"/>
      <c r="D414" s="57"/>
      <c r="E414" s="38"/>
      <c r="F414" s="52"/>
      <c r="G414" s="38"/>
      <c r="H414" s="38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48" t="str">
        <f>IF($A414="","",IF(OR($C414="",$D414="",$E414="",$F414=""),"INCOMPLETO",IF(OR($D414&lt;2021,$D414&gt;2026),"ANO FORA DA JANELA",IF(OR(LOWER($U414)&lt;&gt;"sim",LOWER($V414)&lt;&gt;"sim",$G414="",$H414="",$J414="",$K414="",$M414="",$N414="",$Q414="",$R414="",$S414=""),"INCOMPLETO",IF(LEFT($C414,3)="PTT",IF(COUNTIF('Estratos e PTTs'!$B$15:$B$30,$E414)=0,"TIPO PTT INVÁLIDO","OK"),"OK")))))</f>
        <v/>
      </c>
      <c r="X414" s="52"/>
    </row>
    <row r="415" ht="15.75" customHeight="1">
      <c r="A415" s="52"/>
      <c r="B415" s="28" t="str">
        <f>IF($A415="","",IFERROR(VLOOKUP($A415,'Resumo por docente'!$A$8:$B$57,2,FALSE),""))</f>
        <v/>
      </c>
      <c r="C415" s="38"/>
      <c r="D415" s="57"/>
      <c r="E415" s="38"/>
      <c r="F415" s="52"/>
      <c r="G415" s="38"/>
      <c r="H415" s="38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48" t="str">
        <f>IF($A415="","",IF(OR($C415="",$D415="",$E415="",$F415=""),"INCOMPLETO",IF(OR($D415&lt;2021,$D415&gt;2026),"ANO FORA DA JANELA",IF(OR(LOWER($U415)&lt;&gt;"sim",LOWER($V415)&lt;&gt;"sim",$G415="",$H415="",$J415="",$K415="",$M415="",$N415="",$Q415="",$R415="",$S415=""),"INCOMPLETO",IF(LEFT($C415,3)="PTT",IF(COUNTIF('Estratos e PTTs'!$B$15:$B$30,$E415)=0,"TIPO PTT INVÁLIDO","OK"),"OK")))))</f>
        <v/>
      </c>
      <c r="X415" s="52"/>
    </row>
    <row r="416" ht="15.75" customHeight="1">
      <c r="A416" s="52"/>
      <c r="B416" s="28" t="str">
        <f>IF($A416="","",IFERROR(VLOOKUP($A416,'Resumo por docente'!$A$8:$B$57,2,FALSE),""))</f>
        <v/>
      </c>
      <c r="C416" s="38"/>
      <c r="D416" s="57"/>
      <c r="E416" s="38"/>
      <c r="F416" s="52"/>
      <c r="G416" s="38"/>
      <c r="H416" s="38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48" t="str">
        <f>IF($A416="","",IF(OR($C416="",$D416="",$E416="",$F416=""),"INCOMPLETO",IF(OR($D416&lt;2021,$D416&gt;2026),"ANO FORA DA JANELA",IF(OR(LOWER($U416)&lt;&gt;"sim",LOWER($V416)&lt;&gt;"sim",$G416="",$H416="",$J416="",$K416="",$M416="",$N416="",$Q416="",$R416="",$S416=""),"INCOMPLETO",IF(LEFT($C416,3)="PTT",IF(COUNTIF('Estratos e PTTs'!$B$15:$B$30,$E416)=0,"TIPO PTT INVÁLIDO","OK"),"OK")))))</f>
        <v/>
      </c>
      <c r="X416" s="52"/>
    </row>
    <row r="417" ht="15.75" customHeight="1">
      <c r="A417" s="52"/>
      <c r="B417" s="28" t="str">
        <f>IF($A417="","",IFERROR(VLOOKUP($A417,'Resumo por docente'!$A$8:$B$57,2,FALSE),""))</f>
        <v/>
      </c>
      <c r="C417" s="38"/>
      <c r="D417" s="57"/>
      <c r="E417" s="38"/>
      <c r="F417" s="52"/>
      <c r="G417" s="38"/>
      <c r="H417" s="38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48" t="str">
        <f>IF($A417="","",IF(OR($C417="",$D417="",$E417="",$F417=""),"INCOMPLETO",IF(OR($D417&lt;2021,$D417&gt;2026),"ANO FORA DA JANELA",IF(OR(LOWER($U417)&lt;&gt;"sim",LOWER($V417)&lt;&gt;"sim",$G417="",$H417="",$J417="",$K417="",$M417="",$N417="",$Q417="",$R417="",$S417=""),"INCOMPLETO",IF(LEFT($C417,3)="PTT",IF(COUNTIF('Estratos e PTTs'!$B$15:$B$30,$E417)=0,"TIPO PTT INVÁLIDO","OK"),"OK")))))</f>
        <v/>
      </c>
      <c r="X417" s="52"/>
    </row>
    <row r="418" ht="15.75" customHeight="1">
      <c r="A418" s="52"/>
      <c r="B418" s="28" t="str">
        <f>IF($A418="","",IFERROR(VLOOKUP($A418,'Resumo por docente'!$A$8:$B$57,2,FALSE),""))</f>
        <v/>
      </c>
      <c r="C418" s="38"/>
      <c r="D418" s="57"/>
      <c r="E418" s="38"/>
      <c r="F418" s="52"/>
      <c r="G418" s="38"/>
      <c r="H418" s="38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48" t="str">
        <f>IF($A418="","",IF(OR($C418="",$D418="",$E418="",$F418=""),"INCOMPLETO",IF(OR($D418&lt;2021,$D418&gt;2026),"ANO FORA DA JANELA",IF(OR(LOWER($U418)&lt;&gt;"sim",LOWER($V418)&lt;&gt;"sim",$G418="",$H418="",$J418="",$K418="",$M418="",$N418="",$Q418="",$R418="",$S418=""),"INCOMPLETO",IF(LEFT($C418,3)="PTT",IF(COUNTIF('Estratos e PTTs'!$B$15:$B$30,$E418)=0,"TIPO PTT INVÁLIDO","OK"),"OK")))))</f>
        <v/>
      </c>
      <c r="X418" s="52"/>
    </row>
    <row r="419" ht="15.75" customHeight="1">
      <c r="A419" s="52"/>
      <c r="B419" s="28" t="str">
        <f>IF($A419="","",IFERROR(VLOOKUP($A419,'Resumo por docente'!$A$8:$B$57,2,FALSE),""))</f>
        <v/>
      </c>
      <c r="C419" s="38"/>
      <c r="D419" s="57"/>
      <c r="E419" s="38"/>
      <c r="F419" s="52"/>
      <c r="G419" s="38"/>
      <c r="H419" s="38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48" t="str">
        <f>IF($A419="","",IF(OR($C419="",$D419="",$E419="",$F419=""),"INCOMPLETO",IF(OR($D419&lt;2021,$D419&gt;2026),"ANO FORA DA JANELA",IF(OR(LOWER($U419)&lt;&gt;"sim",LOWER($V419)&lt;&gt;"sim",$G419="",$H419="",$J419="",$K419="",$M419="",$N419="",$Q419="",$R419="",$S419=""),"INCOMPLETO",IF(LEFT($C419,3)="PTT",IF(COUNTIF('Estratos e PTTs'!$B$15:$B$30,$E419)=0,"TIPO PTT INVÁLIDO","OK"),"OK")))))</f>
        <v/>
      </c>
      <c r="X419" s="52"/>
    </row>
    <row r="420" ht="15.75" customHeight="1">
      <c r="A420" s="52"/>
      <c r="B420" s="28" t="str">
        <f>IF($A420="","",IFERROR(VLOOKUP($A420,'Resumo por docente'!$A$8:$B$57,2,FALSE),""))</f>
        <v/>
      </c>
      <c r="C420" s="38"/>
      <c r="D420" s="57"/>
      <c r="E420" s="38"/>
      <c r="F420" s="52"/>
      <c r="G420" s="38"/>
      <c r="H420" s="38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48" t="str">
        <f>IF($A420="","",IF(OR($C420="",$D420="",$E420="",$F420=""),"INCOMPLETO",IF(OR($D420&lt;2021,$D420&gt;2026),"ANO FORA DA JANELA",IF(OR(LOWER($U420)&lt;&gt;"sim",LOWER($V420)&lt;&gt;"sim",$G420="",$H420="",$J420="",$K420="",$M420="",$N420="",$Q420="",$R420="",$S420=""),"INCOMPLETO",IF(LEFT($C420,3)="PTT",IF(COUNTIF('Estratos e PTTs'!$B$15:$B$30,$E420)=0,"TIPO PTT INVÁLIDO","OK"),"OK")))))</f>
        <v/>
      </c>
      <c r="X420" s="52"/>
    </row>
    <row r="421" ht="15.75" customHeight="1">
      <c r="A421" s="52"/>
      <c r="B421" s="28" t="str">
        <f>IF($A421="","",IFERROR(VLOOKUP($A421,'Resumo por docente'!$A$8:$B$57,2,FALSE),""))</f>
        <v/>
      </c>
      <c r="C421" s="38"/>
      <c r="D421" s="57"/>
      <c r="E421" s="38"/>
      <c r="F421" s="52"/>
      <c r="G421" s="38"/>
      <c r="H421" s="38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48" t="str">
        <f>IF($A421="","",IF(OR($C421="",$D421="",$E421="",$F421=""),"INCOMPLETO",IF(OR($D421&lt;2021,$D421&gt;2026),"ANO FORA DA JANELA",IF(OR(LOWER($U421)&lt;&gt;"sim",LOWER($V421)&lt;&gt;"sim",$G421="",$H421="",$J421="",$K421="",$M421="",$N421="",$Q421="",$R421="",$S421=""),"INCOMPLETO",IF(LEFT($C421,3)="PTT",IF(COUNTIF('Estratos e PTTs'!$B$15:$B$30,$E421)=0,"TIPO PTT INVÁLIDO","OK"),"OK")))))</f>
        <v/>
      </c>
      <c r="X421" s="52"/>
    </row>
    <row r="422" ht="15.75" customHeight="1">
      <c r="A422" s="52"/>
      <c r="B422" s="28" t="str">
        <f>IF($A422="","",IFERROR(VLOOKUP($A422,'Resumo por docente'!$A$8:$B$57,2,FALSE),""))</f>
        <v/>
      </c>
      <c r="C422" s="38"/>
      <c r="D422" s="57"/>
      <c r="E422" s="38"/>
      <c r="F422" s="52"/>
      <c r="G422" s="38"/>
      <c r="H422" s="38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48" t="str">
        <f>IF($A422="","",IF(OR($C422="",$D422="",$E422="",$F422=""),"INCOMPLETO",IF(OR($D422&lt;2021,$D422&gt;2026),"ANO FORA DA JANELA",IF(OR(LOWER($U422)&lt;&gt;"sim",LOWER($V422)&lt;&gt;"sim",$G422="",$H422="",$J422="",$K422="",$M422="",$N422="",$Q422="",$R422="",$S422=""),"INCOMPLETO",IF(LEFT($C422,3)="PTT",IF(COUNTIF('Estratos e PTTs'!$B$15:$B$30,$E422)=0,"TIPO PTT INVÁLIDO","OK"),"OK")))))</f>
        <v/>
      </c>
      <c r="X422" s="52"/>
    </row>
    <row r="423" ht="15.75" customHeight="1">
      <c r="A423" s="52"/>
      <c r="B423" s="28" t="str">
        <f>IF($A423="","",IFERROR(VLOOKUP($A423,'Resumo por docente'!$A$8:$B$57,2,FALSE),""))</f>
        <v/>
      </c>
      <c r="C423" s="38"/>
      <c r="D423" s="57"/>
      <c r="E423" s="38"/>
      <c r="F423" s="52"/>
      <c r="G423" s="38"/>
      <c r="H423" s="38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48" t="str">
        <f>IF($A423="","",IF(OR($C423="",$D423="",$E423="",$F423=""),"INCOMPLETO",IF(OR($D423&lt;2021,$D423&gt;2026),"ANO FORA DA JANELA",IF(OR(LOWER($U423)&lt;&gt;"sim",LOWER($V423)&lt;&gt;"sim",$G423="",$H423="",$J423="",$K423="",$M423="",$N423="",$Q423="",$R423="",$S423=""),"INCOMPLETO",IF(LEFT($C423,3)="PTT",IF(COUNTIF('Estratos e PTTs'!$B$15:$B$30,$E423)=0,"TIPO PTT INVÁLIDO","OK"),"OK")))))</f>
        <v/>
      </c>
      <c r="X423" s="52"/>
    </row>
    <row r="424" ht="15.75" customHeight="1">
      <c r="A424" s="52"/>
      <c r="B424" s="28" t="str">
        <f>IF($A424="","",IFERROR(VLOOKUP($A424,'Resumo por docente'!$A$8:$B$57,2,FALSE),""))</f>
        <v/>
      </c>
      <c r="C424" s="38"/>
      <c r="D424" s="57"/>
      <c r="E424" s="38"/>
      <c r="F424" s="52"/>
      <c r="G424" s="38"/>
      <c r="H424" s="38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48" t="str">
        <f>IF($A424="","",IF(OR($C424="",$D424="",$E424="",$F424=""),"INCOMPLETO",IF(OR($D424&lt;2021,$D424&gt;2026),"ANO FORA DA JANELA",IF(OR(LOWER($U424)&lt;&gt;"sim",LOWER($V424)&lt;&gt;"sim",$G424="",$H424="",$J424="",$K424="",$M424="",$N424="",$Q424="",$R424="",$S424=""),"INCOMPLETO",IF(LEFT($C424,3)="PTT",IF(COUNTIF('Estratos e PTTs'!$B$15:$B$30,$E424)=0,"TIPO PTT INVÁLIDO","OK"),"OK")))))</f>
        <v/>
      </c>
      <c r="X424" s="52"/>
    </row>
    <row r="425" ht="15.75" customHeight="1">
      <c r="A425" s="52"/>
      <c r="B425" s="28" t="str">
        <f>IF($A425="","",IFERROR(VLOOKUP($A425,'Resumo por docente'!$A$8:$B$57,2,FALSE),""))</f>
        <v/>
      </c>
      <c r="C425" s="38"/>
      <c r="D425" s="57"/>
      <c r="E425" s="38"/>
      <c r="F425" s="52"/>
      <c r="G425" s="38"/>
      <c r="H425" s="38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48" t="str">
        <f>IF($A425="","",IF(OR($C425="",$D425="",$E425="",$F425=""),"INCOMPLETO",IF(OR($D425&lt;2021,$D425&gt;2026),"ANO FORA DA JANELA",IF(OR(LOWER($U425)&lt;&gt;"sim",LOWER($V425)&lt;&gt;"sim",$G425="",$H425="",$J425="",$K425="",$M425="",$N425="",$Q425="",$R425="",$S425=""),"INCOMPLETO",IF(LEFT($C425,3)="PTT",IF(COUNTIF('Estratos e PTTs'!$B$15:$B$30,$E425)=0,"TIPO PTT INVÁLIDO","OK"),"OK")))))</f>
        <v/>
      </c>
      <c r="X425" s="52"/>
    </row>
    <row r="426" ht="15.75" customHeight="1">
      <c r="A426" s="52"/>
      <c r="B426" s="28" t="str">
        <f>IF($A426="","",IFERROR(VLOOKUP($A426,'Resumo por docente'!$A$8:$B$57,2,FALSE),""))</f>
        <v/>
      </c>
      <c r="C426" s="38"/>
      <c r="D426" s="57"/>
      <c r="E426" s="38"/>
      <c r="F426" s="52"/>
      <c r="G426" s="38"/>
      <c r="H426" s="38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48" t="str">
        <f>IF($A426="","",IF(OR($C426="",$D426="",$E426="",$F426=""),"INCOMPLETO",IF(OR($D426&lt;2021,$D426&gt;2026),"ANO FORA DA JANELA",IF(OR(LOWER($U426)&lt;&gt;"sim",LOWER($V426)&lt;&gt;"sim",$G426="",$H426="",$J426="",$K426="",$M426="",$N426="",$Q426="",$R426="",$S426=""),"INCOMPLETO",IF(LEFT($C426,3)="PTT",IF(COUNTIF('Estratos e PTTs'!$B$15:$B$30,$E426)=0,"TIPO PTT INVÁLIDO","OK"),"OK")))))</f>
        <v/>
      </c>
      <c r="X426" s="52"/>
    </row>
    <row r="427" ht="15.75" customHeight="1">
      <c r="A427" s="52"/>
      <c r="B427" s="28" t="str">
        <f>IF($A427="","",IFERROR(VLOOKUP($A427,'Resumo por docente'!$A$8:$B$57,2,FALSE),""))</f>
        <v/>
      </c>
      <c r="C427" s="38"/>
      <c r="D427" s="57"/>
      <c r="E427" s="38"/>
      <c r="F427" s="52"/>
      <c r="G427" s="38"/>
      <c r="H427" s="38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48" t="str">
        <f>IF($A427="","",IF(OR($C427="",$D427="",$E427="",$F427=""),"INCOMPLETO",IF(OR($D427&lt;2021,$D427&gt;2026),"ANO FORA DA JANELA",IF(OR(LOWER($U427)&lt;&gt;"sim",LOWER($V427)&lt;&gt;"sim",$G427="",$H427="",$J427="",$K427="",$M427="",$N427="",$Q427="",$R427="",$S427=""),"INCOMPLETO",IF(LEFT($C427,3)="PTT",IF(COUNTIF('Estratos e PTTs'!$B$15:$B$30,$E427)=0,"TIPO PTT INVÁLIDO","OK"),"OK")))))</f>
        <v/>
      </c>
      <c r="X427" s="52"/>
    </row>
    <row r="428" ht="15.75" customHeight="1">
      <c r="A428" s="52"/>
      <c r="B428" s="28" t="str">
        <f>IF($A428="","",IFERROR(VLOOKUP($A428,'Resumo por docente'!$A$8:$B$57,2,FALSE),""))</f>
        <v/>
      </c>
      <c r="C428" s="38"/>
      <c r="D428" s="57"/>
      <c r="E428" s="38"/>
      <c r="F428" s="52"/>
      <c r="G428" s="38"/>
      <c r="H428" s="38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48" t="str">
        <f>IF($A428="","",IF(OR($C428="",$D428="",$E428="",$F428=""),"INCOMPLETO",IF(OR($D428&lt;2021,$D428&gt;2026),"ANO FORA DA JANELA",IF(OR(LOWER($U428)&lt;&gt;"sim",LOWER($V428)&lt;&gt;"sim",$G428="",$H428="",$J428="",$K428="",$M428="",$N428="",$Q428="",$R428="",$S428=""),"INCOMPLETO",IF(LEFT($C428,3)="PTT",IF(COUNTIF('Estratos e PTTs'!$B$15:$B$30,$E428)=0,"TIPO PTT INVÁLIDO","OK"),"OK")))))</f>
        <v/>
      </c>
      <c r="X428" s="52"/>
    </row>
    <row r="429" ht="15.75" customHeight="1">
      <c r="A429" s="52"/>
      <c r="B429" s="28" t="str">
        <f>IF($A429="","",IFERROR(VLOOKUP($A429,'Resumo por docente'!$A$8:$B$57,2,FALSE),""))</f>
        <v/>
      </c>
      <c r="C429" s="38"/>
      <c r="D429" s="57"/>
      <c r="E429" s="38"/>
      <c r="F429" s="52"/>
      <c r="G429" s="38"/>
      <c r="H429" s="38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48" t="str">
        <f>IF($A429="","",IF(OR($C429="",$D429="",$E429="",$F429=""),"INCOMPLETO",IF(OR($D429&lt;2021,$D429&gt;2026),"ANO FORA DA JANELA",IF(OR(LOWER($U429)&lt;&gt;"sim",LOWER($V429)&lt;&gt;"sim",$G429="",$H429="",$J429="",$K429="",$M429="",$N429="",$Q429="",$R429="",$S429=""),"INCOMPLETO",IF(LEFT($C429,3)="PTT",IF(COUNTIF('Estratos e PTTs'!$B$15:$B$30,$E429)=0,"TIPO PTT INVÁLIDO","OK"),"OK")))))</f>
        <v/>
      </c>
      <c r="X429" s="52"/>
    </row>
    <row r="430" ht="15.75" customHeight="1">
      <c r="A430" s="52"/>
      <c r="B430" s="28" t="str">
        <f>IF($A430="","",IFERROR(VLOOKUP($A430,'Resumo por docente'!$A$8:$B$57,2,FALSE),""))</f>
        <v/>
      </c>
      <c r="C430" s="38"/>
      <c r="D430" s="57"/>
      <c r="E430" s="38"/>
      <c r="F430" s="52"/>
      <c r="G430" s="38"/>
      <c r="H430" s="38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48" t="str">
        <f>IF($A430="","",IF(OR($C430="",$D430="",$E430="",$F430=""),"INCOMPLETO",IF(OR($D430&lt;2021,$D430&gt;2026),"ANO FORA DA JANELA",IF(OR(LOWER($U430)&lt;&gt;"sim",LOWER($V430)&lt;&gt;"sim",$G430="",$H430="",$J430="",$K430="",$M430="",$N430="",$Q430="",$R430="",$S430=""),"INCOMPLETO",IF(LEFT($C430,3)="PTT",IF(COUNTIF('Estratos e PTTs'!$B$15:$B$30,$E430)=0,"TIPO PTT INVÁLIDO","OK"),"OK")))))</f>
        <v/>
      </c>
      <c r="X430" s="52"/>
    </row>
    <row r="431" ht="15.75" customHeight="1">
      <c r="A431" s="52"/>
      <c r="B431" s="28" t="str">
        <f>IF($A431="","",IFERROR(VLOOKUP($A431,'Resumo por docente'!$A$8:$B$57,2,FALSE),""))</f>
        <v/>
      </c>
      <c r="C431" s="38"/>
      <c r="D431" s="57"/>
      <c r="E431" s="38"/>
      <c r="F431" s="52"/>
      <c r="G431" s="38"/>
      <c r="H431" s="38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48" t="str">
        <f>IF($A431="","",IF(OR($C431="",$D431="",$E431="",$F431=""),"INCOMPLETO",IF(OR($D431&lt;2021,$D431&gt;2026),"ANO FORA DA JANELA",IF(OR(LOWER($U431)&lt;&gt;"sim",LOWER($V431)&lt;&gt;"sim",$G431="",$H431="",$J431="",$K431="",$M431="",$N431="",$Q431="",$R431="",$S431=""),"INCOMPLETO",IF(LEFT($C431,3)="PTT",IF(COUNTIF('Estratos e PTTs'!$B$15:$B$30,$E431)=0,"TIPO PTT INVÁLIDO","OK"),"OK")))))</f>
        <v/>
      </c>
      <c r="X431" s="52"/>
    </row>
    <row r="432" ht="15.75" customHeight="1">
      <c r="A432" s="52"/>
      <c r="B432" s="28" t="str">
        <f>IF($A432="","",IFERROR(VLOOKUP($A432,'Resumo por docente'!$A$8:$B$57,2,FALSE),""))</f>
        <v/>
      </c>
      <c r="C432" s="38"/>
      <c r="D432" s="57"/>
      <c r="E432" s="38"/>
      <c r="F432" s="52"/>
      <c r="G432" s="38"/>
      <c r="H432" s="38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48" t="str">
        <f>IF($A432="","",IF(OR($C432="",$D432="",$E432="",$F432=""),"INCOMPLETO",IF(OR($D432&lt;2021,$D432&gt;2026),"ANO FORA DA JANELA",IF(OR(LOWER($U432)&lt;&gt;"sim",LOWER($V432)&lt;&gt;"sim",$G432="",$H432="",$J432="",$K432="",$M432="",$N432="",$Q432="",$R432="",$S432=""),"INCOMPLETO",IF(LEFT($C432,3)="PTT",IF(COUNTIF('Estratos e PTTs'!$B$15:$B$30,$E432)=0,"TIPO PTT INVÁLIDO","OK"),"OK")))))</f>
        <v/>
      </c>
      <c r="X432" s="52"/>
    </row>
    <row r="433" ht="15.75" customHeight="1">
      <c r="A433" s="52"/>
      <c r="B433" s="28" t="str">
        <f>IF($A433="","",IFERROR(VLOOKUP($A433,'Resumo por docente'!$A$8:$B$57,2,FALSE),""))</f>
        <v/>
      </c>
      <c r="C433" s="38"/>
      <c r="D433" s="57"/>
      <c r="E433" s="38"/>
      <c r="F433" s="52"/>
      <c r="G433" s="38"/>
      <c r="H433" s="38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48" t="str">
        <f>IF($A433="","",IF(OR($C433="",$D433="",$E433="",$F433=""),"INCOMPLETO",IF(OR($D433&lt;2021,$D433&gt;2026),"ANO FORA DA JANELA",IF(OR(LOWER($U433)&lt;&gt;"sim",LOWER($V433)&lt;&gt;"sim",$G433="",$H433="",$J433="",$K433="",$M433="",$N433="",$Q433="",$R433="",$S433=""),"INCOMPLETO",IF(LEFT($C433,3)="PTT",IF(COUNTIF('Estratos e PTTs'!$B$15:$B$30,$E433)=0,"TIPO PTT INVÁLIDO","OK"),"OK")))))</f>
        <v/>
      </c>
      <c r="X433" s="52"/>
    </row>
    <row r="434" ht="15.75" customHeight="1">
      <c r="A434" s="52"/>
      <c r="B434" s="28" t="str">
        <f>IF($A434="","",IFERROR(VLOOKUP($A434,'Resumo por docente'!$A$8:$B$57,2,FALSE),""))</f>
        <v/>
      </c>
      <c r="C434" s="38"/>
      <c r="D434" s="57"/>
      <c r="E434" s="38"/>
      <c r="F434" s="52"/>
      <c r="G434" s="38"/>
      <c r="H434" s="38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48" t="str">
        <f>IF($A434="","",IF(OR($C434="",$D434="",$E434="",$F434=""),"INCOMPLETO",IF(OR($D434&lt;2021,$D434&gt;2026),"ANO FORA DA JANELA",IF(OR(LOWER($U434)&lt;&gt;"sim",LOWER($V434)&lt;&gt;"sim",$G434="",$H434="",$J434="",$K434="",$M434="",$N434="",$Q434="",$R434="",$S434=""),"INCOMPLETO",IF(LEFT($C434,3)="PTT",IF(COUNTIF('Estratos e PTTs'!$B$15:$B$30,$E434)=0,"TIPO PTT INVÁLIDO","OK"),"OK")))))</f>
        <v/>
      </c>
      <c r="X434" s="52"/>
    </row>
    <row r="435" ht="15.75" customHeight="1">
      <c r="A435" s="52"/>
      <c r="B435" s="28" t="str">
        <f>IF($A435="","",IFERROR(VLOOKUP($A435,'Resumo por docente'!$A$8:$B$57,2,FALSE),""))</f>
        <v/>
      </c>
      <c r="C435" s="38"/>
      <c r="D435" s="57"/>
      <c r="E435" s="38"/>
      <c r="F435" s="52"/>
      <c r="G435" s="38"/>
      <c r="H435" s="38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48" t="str">
        <f>IF($A435="","",IF(OR($C435="",$D435="",$E435="",$F435=""),"INCOMPLETO",IF(OR($D435&lt;2021,$D435&gt;2026),"ANO FORA DA JANELA",IF(OR(LOWER($U435)&lt;&gt;"sim",LOWER($V435)&lt;&gt;"sim",$G435="",$H435="",$J435="",$K435="",$M435="",$N435="",$Q435="",$R435="",$S435=""),"INCOMPLETO",IF(LEFT($C435,3)="PTT",IF(COUNTIF('Estratos e PTTs'!$B$15:$B$30,$E435)=0,"TIPO PTT INVÁLIDO","OK"),"OK")))))</f>
        <v/>
      </c>
      <c r="X435" s="52"/>
    </row>
    <row r="436" ht="15.75" customHeight="1">
      <c r="A436" s="52"/>
      <c r="B436" s="28" t="str">
        <f>IF($A436="","",IFERROR(VLOOKUP($A436,'Resumo por docente'!$A$8:$B$57,2,FALSE),""))</f>
        <v/>
      </c>
      <c r="C436" s="38"/>
      <c r="D436" s="57"/>
      <c r="E436" s="38"/>
      <c r="F436" s="52"/>
      <c r="G436" s="38"/>
      <c r="H436" s="38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48" t="str">
        <f>IF($A436="","",IF(OR($C436="",$D436="",$E436="",$F436=""),"INCOMPLETO",IF(OR($D436&lt;2021,$D436&gt;2026),"ANO FORA DA JANELA",IF(OR(LOWER($U436)&lt;&gt;"sim",LOWER($V436)&lt;&gt;"sim",$G436="",$H436="",$J436="",$K436="",$M436="",$N436="",$Q436="",$R436="",$S436=""),"INCOMPLETO",IF(LEFT($C436,3)="PTT",IF(COUNTIF('Estratos e PTTs'!$B$15:$B$30,$E436)=0,"TIPO PTT INVÁLIDO","OK"),"OK")))))</f>
        <v/>
      </c>
      <c r="X436" s="52"/>
    </row>
    <row r="437" ht="15.75" customHeight="1">
      <c r="A437" s="52"/>
      <c r="B437" s="28" t="str">
        <f>IF($A437="","",IFERROR(VLOOKUP($A437,'Resumo por docente'!$A$8:$B$57,2,FALSE),""))</f>
        <v/>
      </c>
      <c r="C437" s="38"/>
      <c r="D437" s="57"/>
      <c r="E437" s="38"/>
      <c r="F437" s="52"/>
      <c r="G437" s="38"/>
      <c r="H437" s="38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48" t="str">
        <f>IF($A437="","",IF(OR($C437="",$D437="",$E437="",$F437=""),"INCOMPLETO",IF(OR($D437&lt;2021,$D437&gt;2026),"ANO FORA DA JANELA",IF(OR(LOWER($U437)&lt;&gt;"sim",LOWER($V437)&lt;&gt;"sim",$G437="",$H437="",$J437="",$K437="",$M437="",$N437="",$Q437="",$R437="",$S437=""),"INCOMPLETO",IF(LEFT($C437,3)="PTT",IF(COUNTIF('Estratos e PTTs'!$B$15:$B$30,$E437)=0,"TIPO PTT INVÁLIDO","OK"),"OK")))))</f>
        <v/>
      </c>
      <c r="X437" s="52"/>
    </row>
    <row r="438" ht="15.75" customHeight="1">
      <c r="A438" s="52"/>
      <c r="B438" s="28" t="str">
        <f>IF($A438="","",IFERROR(VLOOKUP($A438,'Resumo por docente'!$A$8:$B$57,2,FALSE),""))</f>
        <v/>
      </c>
      <c r="C438" s="38"/>
      <c r="D438" s="57"/>
      <c r="E438" s="38"/>
      <c r="F438" s="52"/>
      <c r="G438" s="38"/>
      <c r="H438" s="38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48" t="str">
        <f>IF($A438="","",IF(OR($C438="",$D438="",$E438="",$F438=""),"INCOMPLETO",IF(OR($D438&lt;2021,$D438&gt;2026),"ANO FORA DA JANELA",IF(OR(LOWER($U438)&lt;&gt;"sim",LOWER($V438)&lt;&gt;"sim",$G438="",$H438="",$J438="",$K438="",$M438="",$N438="",$Q438="",$R438="",$S438=""),"INCOMPLETO",IF(LEFT($C438,3)="PTT",IF(COUNTIF('Estratos e PTTs'!$B$15:$B$30,$E438)=0,"TIPO PTT INVÁLIDO","OK"),"OK")))))</f>
        <v/>
      </c>
      <c r="X438" s="52"/>
    </row>
    <row r="439" ht="15.75" customHeight="1">
      <c r="A439" s="52"/>
      <c r="B439" s="28" t="str">
        <f>IF($A439="","",IFERROR(VLOOKUP($A439,'Resumo por docente'!$A$8:$B$57,2,FALSE),""))</f>
        <v/>
      </c>
      <c r="C439" s="38"/>
      <c r="D439" s="57"/>
      <c r="E439" s="38"/>
      <c r="F439" s="52"/>
      <c r="G439" s="38"/>
      <c r="H439" s="38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48" t="str">
        <f>IF($A439="","",IF(OR($C439="",$D439="",$E439="",$F439=""),"INCOMPLETO",IF(OR($D439&lt;2021,$D439&gt;2026),"ANO FORA DA JANELA",IF(OR(LOWER($U439)&lt;&gt;"sim",LOWER($V439)&lt;&gt;"sim",$G439="",$H439="",$J439="",$K439="",$M439="",$N439="",$Q439="",$R439="",$S439=""),"INCOMPLETO",IF(LEFT($C439,3)="PTT",IF(COUNTIF('Estratos e PTTs'!$B$15:$B$30,$E439)=0,"TIPO PTT INVÁLIDO","OK"),"OK")))))</f>
        <v/>
      </c>
      <c r="X439" s="52"/>
    </row>
    <row r="440" ht="15.75" customHeight="1">
      <c r="A440" s="52"/>
      <c r="B440" s="28" t="str">
        <f>IF($A440="","",IFERROR(VLOOKUP($A440,'Resumo por docente'!$A$8:$B$57,2,FALSE),""))</f>
        <v/>
      </c>
      <c r="C440" s="38"/>
      <c r="D440" s="57"/>
      <c r="E440" s="38"/>
      <c r="F440" s="52"/>
      <c r="G440" s="38"/>
      <c r="H440" s="38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48" t="str">
        <f>IF($A440="","",IF(OR($C440="",$D440="",$E440="",$F440=""),"INCOMPLETO",IF(OR($D440&lt;2021,$D440&gt;2026),"ANO FORA DA JANELA",IF(OR(LOWER($U440)&lt;&gt;"sim",LOWER($V440)&lt;&gt;"sim",$G440="",$H440="",$J440="",$K440="",$M440="",$N440="",$Q440="",$R440="",$S440=""),"INCOMPLETO",IF(LEFT($C440,3)="PTT",IF(COUNTIF('Estratos e PTTs'!$B$15:$B$30,$E440)=0,"TIPO PTT INVÁLIDO","OK"),"OK")))))</f>
        <v/>
      </c>
      <c r="X440" s="52"/>
    </row>
    <row r="441" ht="15.75" customHeight="1">
      <c r="A441" s="52"/>
      <c r="B441" s="28" t="str">
        <f>IF($A441="","",IFERROR(VLOOKUP($A441,'Resumo por docente'!$A$8:$B$57,2,FALSE),""))</f>
        <v/>
      </c>
      <c r="C441" s="38"/>
      <c r="D441" s="57"/>
      <c r="E441" s="38"/>
      <c r="F441" s="52"/>
      <c r="G441" s="38"/>
      <c r="H441" s="38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48" t="str">
        <f>IF($A441="","",IF(OR($C441="",$D441="",$E441="",$F441=""),"INCOMPLETO",IF(OR($D441&lt;2021,$D441&gt;2026),"ANO FORA DA JANELA",IF(OR(LOWER($U441)&lt;&gt;"sim",LOWER($V441)&lt;&gt;"sim",$G441="",$H441="",$J441="",$K441="",$M441="",$N441="",$Q441="",$R441="",$S441=""),"INCOMPLETO",IF(LEFT($C441,3)="PTT",IF(COUNTIF('Estratos e PTTs'!$B$15:$B$30,$E441)=0,"TIPO PTT INVÁLIDO","OK"),"OK")))))</f>
        <v/>
      </c>
      <c r="X441" s="52"/>
    </row>
    <row r="442" ht="15.75" customHeight="1">
      <c r="A442" s="52"/>
      <c r="B442" s="28" t="str">
        <f>IF($A442="","",IFERROR(VLOOKUP($A442,'Resumo por docente'!$A$8:$B$57,2,FALSE),""))</f>
        <v/>
      </c>
      <c r="C442" s="38"/>
      <c r="D442" s="57"/>
      <c r="E442" s="38"/>
      <c r="F442" s="52"/>
      <c r="G442" s="38"/>
      <c r="H442" s="38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48" t="str">
        <f>IF($A442="","",IF(OR($C442="",$D442="",$E442="",$F442=""),"INCOMPLETO",IF(OR($D442&lt;2021,$D442&gt;2026),"ANO FORA DA JANELA",IF(OR(LOWER($U442)&lt;&gt;"sim",LOWER($V442)&lt;&gt;"sim",$G442="",$H442="",$J442="",$K442="",$M442="",$N442="",$Q442="",$R442="",$S442=""),"INCOMPLETO",IF(LEFT($C442,3)="PTT",IF(COUNTIF('Estratos e PTTs'!$B$15:$B$30,$E442)=0,"TIPO PTT INVÁLIDO","OK"),"OK")))))</f>
        <v/>
      </c>
      <c r="X442" s="52"/>
    </row>
    <row r="443" ht="15.75" customHeight="1">
      <c r="A443" s="52"/>
      <c r="B443" s="28" t="str">
        <f>IF($A443="","",IFERROR(VLOOKUP($A443,'Resumo por docente'!$A$8:$B$57,2,FALSE),""))</f>
        <v/>
      </c>
      <c r="C443" s="38"/>
      <c r="D443" s="57"/>
      <c r="E443" s="38"/>
      <c r="F443" s="52"/>
      <c r="G443" s="38"/>
      <c r="H443" s="38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48" t="str">
        <f>IF($A443="","",IF(OR($C443="",$D443="",$E443="",$F443=""),"INCOMPLETO",IF(OR($D443&lt;2021,$D443&gt;2026),"ANO FORA DA JANELA",IF(OR(LOWER($U443)&lt;&gt;"sim",LOWER($V443)&lt;&gt;"sim",$G443="",$H443="",$J443="",$K443="",$M443="",$N443="",$Q443="",$R443="",$S443=""),"INCOMPLETO",IF(LEFT($C443,3)="PTT",IF(COUNTIF('Estratos e PTTs'!$B$15:$B$30,$E443)=0,"TIPO PTT INVÁLIDO","OK"),"OK")))))</f>
        <v/>
      </c>
      <c r="X443" s="52"/>
    </row>
    <row r="444" ht="15.75" customHeight="1">
      <c r="A444" s="52"/>
      <c r="B444" s="28" t="str">
        <f>IF($A444="","",IFERROR(VLOOKUP($A444,'Resumo por docente'!$A$8:$B$57,2,FALSE),""))</f>
        <v/>
      </c>
      <c r="C444" s="38"/>
      <c r="D444" s="57"/>
      <c r="E444" s="38"/>
      <c r="F444" s="52"/>
      <c r="G444" s="38"/>
      <c r="H444" s="38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48" t="str">
        <f>IF($A444="","",IF(OR($C444="",$D444="",$E444="",$F444=""),"INCOMPLETO",IF(OR($D444&lt;2021,$D444&gt;2026),"ANO FORA DA JANELA",IF(OR(LOWER($U444)&lt;&gt;"sim",LOWER($V444)&lt;&gt;"sim",$G444="",$H444="",$J444="",$K444="",$M444="",$N444="",$Q444="",$R444="",$S444=""),"INCOMPLETO",IF(LEFT($C444,3)="PTT",IF(COUNTIF('Estratos e PTTs'!$B$15:$B$30,$E444)=0,"TIPO PTT INVÁLIDO","OK"),"OK")))))</f>
        <v/>
      </c>
      <c r="X444" s="52"/>
    </row>
    <row r="445" ht="15.75" customHeight="1">
      <c r="A445" s="52"/>
      <c r="B445" s="28" t="str">
        <f>IF($A445="","",IFERROR(VLOOKUP($A445,'Resumo por docente'!$A$8:$B$57,2,FALSE),""))</f>
        <v/>
      </c>
      <c r="C445" s="38"/>
      <c r="D445" s="57"/>
      <c r="E445" s="38"/>
      <c r="F445" s="52"/>
      <c r="G445" s="38"/>
      <c r="H445" s="38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48" t="str">
        <f>IF($A445="","",IF(OR($C445="",$D445="",$E445="",$F445=""),"INCOMPLETO",IF(OR($D445&lt;2021,$D445&gt;2026),"ANO FORA DA JANELA",IF(OR(LOWER($U445)&lt;&gt;"sim",LOWER($V445)&lt;&gt;"sim",$G445="",$H445="",$J445="",$K445="",$M445="",$N445="",$Q445="",$R445="",$S445=""),"INCOMPLETO",IF(LEFT($C445,3)="PTT",IF(COUNTIF('Estratos e PTTs'!$B$15:$B$30,$E445)=0,"TIPO PTT INVÁLIDO","OK"),"OK")))))</f>
        <v/>
      </c>
      <c r="X445" s="52"/>
    </row>
    <row r="446" ht="15.75" customHeight="1">
      <c r="A446" s="52"/>
      <c r="B446" s="28" t="str">
        <f>IF($A446="","",IFERROR(VLOOKUP($A446,'Resumo por docente'!$A$8:$B$57,2,FALSE),""))</f>
        <v/>
      </c>
      <c r="C446" s="38"/>
      <c r="D446" s="57"/>
      <c r="E446" s="38"/>
      <c r="F446" s="52"/>
      <c r="G446" s="38"/>
      <c r="H446" s="38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48" t="str">
        <f>IF($A446="","",IF(OR($C446="",$D446="",$E446="",$F446=""),"INCOMPLETO",IF(OR($D446&lt;2021,$D446&gt;2026),"ANO FORA DA JANELA",IF(OR(LOWER($U446)&lt;&gt;"sim",LOWER($V446)&lt;&gt;"sim",$G446="",$H446="",$J446="",$K446="",$M446="",$N446="",$Q446="",$R446="",$S446=""),"INCOMPLETO",IF(LEFT($C446,3)="PTT",IF(COUNTIF('Estratos e PTTs'!$B$15:$B$30,$E446)=0,"TIPO PTT INVÁLIDO","OK"),"OK")))))</f>
        <v/>
      </c>
      <c r="X446" s="52"/>
    </row>
    <row r="447" ht="15.75" customHeight="1">
      <c r="A447" s="52"/>
      <c r="B447" s="28" t="str">
        <f>IF($A447="","",IFERROR(VLOOKUP($A447,'Resumo por docente'!$A$8:$B$57,2,FALSE),""))</f>
        <v/>
      </c>
      <c r="C447" s="38"/>
      <c r="D447" s="57"/>
      <c r="E447" s="38"/>
      <c r="F447" s="52"/>
      <c r="G447" s="38"/>
      <c r="H447" s="38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48" t="str">
        <f>IF($A447="","",IF(OR($C447="",$D447="",$E447="",$F447=""),"INCOMPLETO",IF(OR($D447&lt;2021,$D447&gt;2026),"ANO FORA DA JANELA",IF(OR(LOWER($U447)&lt;&gt;"sim",LOWER($V447)&lt;&gt;"sim",$G447="",$H447="",$J447="",$K447="",$M447="",$N447="",$Q447="",$R447="",$S447=""),"INCOMPLETO",IF(LEFT($C447,3)="PTT",IF(COUNTIF('Estratos e PTTs'!$B$15:$B$30,$E447)=0,"TIPO PTT INVÁLIDO","OK"),"OK")))))</f>
        <v/>
      </c>
      <c r="X447" s="52"/>
    </row>
    <row r="448" ht="15.75" customHeight="1">
      <c r="A448" s="52"/>
      <c r="B448" s="28" t="str">
        <f>IF($A448="","",IFERROR(VLOOKUP($A448,'Resumo por docente'!$A$8:$B$57,2,FALSE),""))</f>
        <v/>
      </c>
      <c r="C448" s="38"/>
      <c r="D448" s="57"/>
      <c r="E448" s="38"/>
      <c r="F448" s="52"/>
      <c r="G448" s="38"/>
      <c r="H448" s="38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48" t="str">
        <f>IF($A448="","",IF(OR($C448="",$D448="",$E448="",$F448=""),"INCOMPLETO",IF(OR($D448&lt;2021,$D448&gt;2026),"ANO FORA DA JANELA",IF(OR(LOWER($U448)&lt;&gt;"sim",LOWER($V448)&lt;&gt;"sim",$G448="",$H448="",$J448="",$K448="",$M448="",$N448="",$Q448="",$R448="",$S448=""),"INCOMPLETO",IF(LEFT($C448,3)="PTT",IF(COUNTIF('Estratos e PTTs'!$B$15:$B$30,$E448)=0,"TIPO PTT INVÁLIDO","OK"),"OK")))))</f>
        <v/>
      </c>
      <c r="X448" s="52"/>
    </row>
    <row r="449" ht="15.75" customHeight="1">
      <c r="A449" s="52"/>
      <c r="B449" s="28" t="str">
        <f>IF($A449="","",IFERROR(VLOOKUP($A449,'Resumo por docente'!$A$8:$B$57,2,FALSE),""))</f>
        <v/>
      </c>
      <c r="C449" s="38"/>
      <c r="D449" s="57"/>
      <c r="E449" s="38"/>
      <c r="F449" s="52"/>
      <c r="G449" s="38"/>
      <c r="H449" s="38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48" t="str">
        <f>IF($A449="","",IF(OR($C449="",$D449="",$E449="",$F449=""),"INCOMPLETO",IF(OR($D449&lt;2021,$D449&gt;2026),"ANO FORA DA JANELA",IF(OR(LOWER($U449)&lt;&gt;"sim",LOWER($V449)&lt;&gt;"sim",$G449="",$H449="",$J449="",$K449="",$M449="",$N449="",$Q449="",$R449="",$S449=""),"INCOMPLETO",IF(LEFT($C449,3)="PTT",IF(COUNTIF('Estratos e PTTs'!$B$15:$B$30,$E449)=0,"TIPO PTT INVÁLIDO","OK"),"OK")))))</f>
        <v/>
      </c>
      <c r="X449" s="52"/>
    </row>
    <row r="450" ht="15.75" customHeight="1">
      <c r="A450" s="52"/>
      <c r="B450" s="28" t="str">
        <f>IF($A450="","",IFERROR(VLOOKUP($A450,'Resumo por docente'!$A$8:$B$57,2,FALSE),""))</f>
        <v/>
      </c>
      <c r="C450" s="38"/>
      <c r="D450" s="57"/>
      <c r="E450" s="38"/>
      <c r="F450" s="52"/>
      <c r="G450" s="38"/>
      <c r="H450" s="38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48" t="str">
        <f>IF($A450="","",IF(OR($C450="",$D450="",$E450="",$F450=""),"INCOMPLETO",IF(OR($D450&lt;2021,$D450&gt;2026),"ANO FORA DA JANELA",IF(OR(LOWER($U450)&lt;&gt;"sim",LOWER($V450)&lt;&gt;"sim",$G450="",$H450="",$J450="",$K450="",$M450="",$N450="",$Q450="",$R450="",$S450=""),"INCOMPLETO",IF(LEFT($C450,3)="PTT",IF(COUNTIF('Estratos e PTTs'!$B$15:$B$30,$E450)=0,"TIPO PTT INVÁLIDO","OK"),"OK")))))</f>
        <v/>
      </c>
      <c r="X450" s="52"/>
    </row>
    <row r="451" ht="15.75" customHeight="1">
      <c r="A451" s="52"/>
      <c r="B451" s="28" t="str">
        <f>IF($A451="","",IFERROR(VLOOKUP($A451,'Resumo por docente'!$A$8:$B$57,2,FALSE),""))</f>
        <v/>
      </c>
      <c r="C451" s="38"/>
      <c r="D451" s="57"/>
      <c r="E451" s="38"/>
      <c r="F451" s="52"/>
      <c r="G451" s="38"/>
      <c r="H451" s="38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48" t="str">
        <f>IF($A451="","",IF(OR($C451="",$D451="",$E451="",$F451=""),"INCOMPLETO",IF(OR($D451&lt;2021,$D451&gt;2026),"ANO FORA DA JANELA",IF(OR(LOWER($U451)&lt;&gt;"sim",LOWER($V451)&lt;&gt;"sim",$G451="",$H451="",$J451="",$K451="",$M451="",$N451="",$Q451="",$R451="",$S451=""),"INCOMPLETO",IF(LEFT($C451,3)="PTT",IF(COUNTIF('Estratos e PTTs'!$B$15:$B$30,$E451)=0,"TIPO PTT INVÁLIDO","OK"),"OK")))))</f>
        <v/>
      </c>
      <c r="X451" s="52"/>
    </row>
    <row r="452" ht="15.75" customHeight="1">
      <c r="A452" s="52"/>
      <c r="B452" s="28" t="str">
        <f>IF($A452="","",IFERROR(VLOOKUP($A452,'Resumo por docente'!$A$8:$B$57,2,FALSE),""))</f>
        <v/>
      </c>
      <c r="C452" s="38"/>
      <c r="D452" s="57"/>
      <c r="E452" s="38"/>
      <c r="F452" s="52"/>
      <c r="G452" s="38"/>
      <c r="H452" s="38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48" t="str">
        <f>IF($A452="","",IF(OR($C452="",$D452="",$E452="",$F452=""),"INCOMPLETO",IF(OR($D452&lt;2021,$D452&gt;2026),"ANO FORA DA JANELA",IF(OR(LOWER($U452)&lt;&gt;"sim",LOWER($V452)&lt;&gt;"sim",$G452="",$H452="",$J452="",$K452="",$M452="",$N452="",$Q452="",$R452="",$S452=""),"INCOMPLETO",IF(LEFT($C452,3)="PTT",IF(COUNTIF('Estratos e PTTs'!$B$15:$B$30,$E452)=0,"TIPO PTT INVÁLIDO","OK"),"OK")))))</f>
        <v/>
      </c>
      <c r="X452" s="52"/>
    </row>
    <row r="453" ht="15.75" customHeight="1">
      <c r="A453" s="52"/>
      <c r="B453" s="28" t="str">
        <f>IF($A453="","",IFERROR(VLOOKUP($A453,'Resumo por docente'!$A$8:$B$57,2,FALSE),""))</f>
        <v/>
      </c>
      <c r="C453" s="38"/>
      <c r="D453" s="57"/>
      <c r="E453" s="38"/>
      <c r="F453" s="52"/>
      <c r="G453" s="38"/>
      <c r="H453" s="38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48" t="str">
        <f>IF($A453="","",IF(OR($C453="",$D453="",$E453="",$F453=""),"INCOMPLETO",IF(OR($D453&lt;2021,$D453&gt;2026),"ANO FORA DA JANELA",IF(OR(LOWER($U453)&lt;&gt;"sim",LOWER($V453)&lt;&gt;"sim",$G453="",$H453="",$J453="",$K453="",$M453="",$N453="",$Q453="",$R453="",$S453=""),"INCOMPLETO",IF(LEFT($C453,3)="PTT",IF(COUNTIF('Estratos e PTTs'!$B$15:$B$30,$E453)=0,"TIPO PTT INVÁLIDO","OK"),"OK")))))</f>
        <v/>
      </c>
      <c r="X453" s="52"/>
    </row>
    <row r="454" ht="15.75" customHeight="1">
      <c r="A454" s="52"/>
      <c r="B454" s="28" t="str">
        <f>IF($A454="","",IFERROR(VLOOKUP($A454,'Resumo por docente'!$A$8:$B$57,2,FALSE),""))</f>
        <v/>
      </c>
      <c r="C454" s="38"/>
      <c r="D454" s="57"/>
      <c r="E454" s="38"/>
      <c r="F454" s="52"/>
      <c r="G454" s="38"/>
      <c r="H454" s="38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48" t="str">
        <f>IF($A454="","",IF(OR($C454="",$D454="",$E454="",$F454=""),"INCOMPLETO",IF(OR($D454&lt;2021,$D454&gt;2026),"ANO FORA DA JANELA",IF(OR(LOWER($U454)&lt;&gt;"sim",LOWER($V454)&lt;&gt;"sim",$G454="",$H454="",$J454="",$K454="",$M454="",$N454="",$Q454="",$R454="",$S454=""),"INCOMPLETO",IF(LEFT($C454,3)="PTT",IF(COUNTIF('Estratos e PTTs'!$B$15:$B$30,$E454)=0,"TIPO PTT INVÁLIDO","OK"),"OK")))))</f>
        <v/>
      </c>
      <c r="X454" s="52"/>
    </row>
    <row r="455" ht="15.75" customHeight="1">
      <c r="A455" s="52"/>
      <c r="B455" s="28" t="str">
        <f>IF($A455="","",IFERROR(VLOOKUP($A455,'Resumo por docente'!$A$8:$B$57,2,FALSE),""))</f>
        <v/>
      </c>
      <c r="C455" s="38"/>
      <c r="D455" s="57"/>
      <c r="E455" s="38"/>
      <c r="F455" s="52"/>
      <c r="G455" s="38"/>
      <c r="H455" s="38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48" t="str">
        <f>IF($A455="","",IF(OR($C455="",$D455="",$E455="",$F455=""),"INCOMPLETO",IF(OR($D455&lt;2021,$D455&gt;2026),"ANO FORA DA JANELA",IF(OR(LOWER($U455)&lt;&gt;"sim",LOWER($V455)&lt;&gt;"sim",$G455="",$H455="",$J455="",$K455="",$M455="",$N455="",$Q455="",$R455="",$S455=""),"INCOMPLETO",IF(LEFT($C455,3)="PTT",IF(COUNTIF('Estratos e PTTs'!$B$15:$B$30,$E455)=0,"TIPO PTT INVÁLIDO","OK"),"OK")))))</f>
        <v/>
      </c>
      <c r="X455" s="52"/>
    </row>
    <row r="456" ht="15.75" customHeight="1">
      <c r="A456" s="52"/>
      <c r="B456" s="28" t="str">
        <f>IF($A456="","",IFERROR(VLOOKUP($A456,'Resumo por docente'!$A$8:$B$57,2,FALSE),""))</f>
        <v/>
      </c>
      <c r="C456" s="38"/>
      <c r="D456" s="57"/>
      <c r="E456" s="38"/>
      <c r="F456" s="52"/>
      <c r="G456" s="38"/>
      <c r="H456" s="38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48" t="str">
        <f>IF($A456="","",IF(OR($C456="",$D456="",$E456="",$F456=""),"INCOMPLETO",IF(OR($D456&lt;2021,$D456&gt;2026),"ANO FORA DA JANELA",IF(OR(LOWER($U456)&lt;&gt;"sim",LOWER($V456)&lt;&gt;"sim",$G456="",$H456="",$J456="",$K456="",$M456="",$N456="",$Q456="",$R456="",$S456=""),"INCOMPLETO",IF(LEFT($C456,3)="PTT",IF(COUNTIF('Estratos e PTTs'!$B$15:$B$30,$E456)=0,"TIPO PTT INVÁLIDO","OK"),"OK")))))</f>
        <v/>
      </c>
      <c r="X456" s="52"/>
    </row>
    <row r="457" ht="15.75" customHeight="1">
      <c r="A457" s="52"/>
      <c r="B457" s="28" t="str">
        <f>IF($A457="","",IFERROR(VLOOKUP($A457,'Resumo por docente'!$A$8:$B$57,2,FALSE),""))</f>
        <v/>
      </c>
      <c r="C457" s="38"/>
      <c r="D457" s="57"/>
      <c r="E457" s="38"/>
      <c r="F457" s="52"/>
      <c r="G457" s="38"/>
      <c r="H457" s="38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48" t="str">
        <f>IF($A457="","",IF(OR($C457="",$D457="",$E457="",$F457=""),"INCOMPLETO",IF(OR($D457&lt;2021,$D457&gt;2026),"ANO FORA DA JANELA",IF(OR(LOWER($U457)&lt;&gt;"sim",LOWER($V457)&lt;&gt;"sim",$G457="",$H457="",$J457="",$K457="",$M457="",$N457="",$Q457="",$R457="",$S457=""),"INCOMPLETO",IF(LEFT($C457,3)="PTT",IF(COUNTIF('Estratos e PTTs'!$B$15:$B$30,$E457)=0,"TIPO PTT INVÁLIDO","OK"),"OK")))))</f>
        <v/>
      </c>
      <c r="X457" s="52"/>
    </row>
    <row r="458" ht="15.75" customHeight="1">
      <c r="A458" s="52"/>
      <c r="B458" s="28" t="str">
        <f>IF($A458="","",IFERROR(VLOOKUP($A458,'Resumo por docente'!$A$8:$B$57,2,FALSE),""))</f>
        <v/>
      </c>
      <c r="C458" s="38"/>
      <c r="D458" s="57"/>
      <c r="E458" s="38"/>
      <c r="F458" s="52"/>
      <c r="G458" s="38"/>
      <c r="H458" s="38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48" t="str">
        <f>IF($A458="","",IF(OR($C458="",$D458="",$E458="",$F458=""),"INCOMPLETO",IF(OR($D458&lt;2021,$D458&gt;2026),"ANO FORA DA JANELA",IF(OR(LOWER($U458)&lt;&gt;"sim",LOWER($V458)&lt;&gt;"sim",$G458="",$H458="",$J458="",$K458="",$M458="",$N458="",$Q458="",$R458="",$S458=""),"INCOMPLETO",IF(LEFT($C458,3)="PTT",IF(COUNTIF('Estratos e PTTs'!$B$15:$B$30,$E458)=0,"TIPO PTT INVÁLIDO","OK"),"OK")))))</f>
        <v/>
      </c>
      <c r="X458" s="52"/>
    </row>
    <row r="459" ht="15.75" customHeight="1">
      <c r="A459" s="52"/>
      <c r="B459" s="28" t="str">
        <f>IF($A459="","",IFERROR(VLOOKUP($A459,'Resumo por docente'!$A$8:$B$57,2,FALSE),""))</f>
        <v/>
      </c>
      <c r="C459" s="38"/>
      <c r="D459" s="57"/>
      <c r="E459" s="38"/>
      <c r="F459" s="52"/>
      <c r="G459" s="38"/>
      <c r="H459" s="38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48" t="str">
        <f>IF($A459="","",IF(OR($C459="",$D459="",$E459="",$F459=""),"INCOMPLETO",IF(OR($D459&lt;2021,$D459&gt;2026),"ANO FORA DA JANELA",IF(OR(LOWER($U459)&lt;&gt;"sim",LOWER($V459)&lt;&gt;"sim",$G459="",$H459="",$J459="",$K459="",$M459="",$N459="",$Q459="",$R459="",$S459=""),"INCOMPLETO",IF(LEFT($C459,3)="PTT",IF(COUNTIF('Estratos e PTTs'!$B$15:$B$30,$E459)=0,"TIPO PTT INVÁLIDO","OK"),"OK")))))</f>
        <v/>
      </c>
      <c r="X459" s="52"/>
    </row>
    <row r="460" ht="15.75" customHeight="1">
      <c r="A460" s="52"/>
      <c r="B460" s="28" t="str">
        <f>IF($A460="","",IFERROR(VLOOKUP($A460,'Resumo por docente'!$A$8:$B$57,2,FALSE),""))</f>
        <v/>
      </c>
      <c r="C460" s="38"/>
      <c r="D460" s="57"/>
      <c r="E460" s="38"/>
      <c r="F460" s="52"/>
      <c r="G460" s="38"/>
      <c r="H460" s="38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48" t="str">
        <f>IF($A460="","",IF(OR($C460="",$D460="",$E460="",$F460=""),"INCOMPLETO",IF(OR($D460&lt;2021,$D460&gt;2026),"ANO FORA DA JANELA",IF(OR(LOWER($U460)&lt;&gt;"sim",LOWER($V460)&lt;&gt;"sim",$G460="",$H460="",$J460="",$K460="",$M460="",$N460="",$Q460="",$R460="",$S460=""),"INCOMPLETO",IF(LEFT($C460,3)="PTT",IF(COUNTIF('Estratos e PTTs'!$B$15:$B$30,$E460)=0,"TIPO PTT INVÁLIDO","OK"),"OK")))))</f>
        <v/>
      </c>
      <c r="X460" s="52"/>
    </row>
    <row r="461" ht="15.75" customHeight="1">
      <c r="A461" s="52"/>
      <c r="B461" s="28" t="str">
        <f>IF($A461="","",IFERROR(VLOOKUP($A461,'Resumo por docente'!$A$8:$B$57,2,FALSE),""))</f>
        <v/>
      </c>
      <c r="C461" s="38"/>
      <c r="D461" s="57"/>
      <c r="E461" s="38"/>
      <c r="F461" s="52"/>
      <c r="G461" s="38"/>
      <c r="H461" s="38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48" t="str">
        <f>IF($A461="","",IF(OR($C461="",$D461="",$E461="",$F461=""),"INCOMPLETO",IF(OR($D461&lt;2021,$D461&gt;2026),"ANO FORA DA JANELA",IF(OR(LOWER($U461)&lt;&gt;"sim",LOWER($V461)&lt;&gt;"sim",$G461="",$H461="",$J461="",$K461="",$M461="",$N461="",$Q461="",$R461="",$S461=""),"INCOMPLETO",IF(LEFT($C461,3)="PTT",IF(COUNTIF('Estratos e PTTs'!$B$15:$B$30,$E461)=0,"TIPO PTT INVÁLIDO","OK"),"OK")))))</f>
        <v/>
      </c>
      <c r="X461" s="52"/>
    </row>
    <row r="462" ht="15.75" customHeight="1">
      <c r="A462" s="52"/>
      <c r="B462" s="28" t="str">
        <f>IF($A462="","",IFERROR(VLOOKUP($A462,'Resumo por docente'!$A$8:$B$57,2,FALSE),""))</f>
        <v/>
      </c>
      <c r="C462" s="38"/>
      <c r="D462" s="57"/>
      <c r="E462" s="38"/>
      <c r="F462" s="52"/>
      <c r="G462" s="38"/>
      <c r="H462" s="38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48" t="str">
        <f>IF($A462="","",IF(OR($C462="",$D462="",$E462="",$F462=""),"INCOMPLETO",IF(OR($D462&lt;2021,$D462&gt;2026),"ANO FORA DA JANELA",IF(OR(LOWER($U462)&lt;&gt;"sim",LOWER($V462)&lt;&gt;"sim",$G462="",$H462="",$J462="",$K462="",$M462="",$N462="",$Q462="",$R462="",$S462=""),"INCOMPLETO",IF(LEFT($C462,3)="PTT",IF(COUNTIF('Estratos e PTTs'!$B$15:$B$30,$E462)=0,"TIPO PTT INVÁLIDO","OK"),"OK")))))</f>
        <v/>
      </c>
      <c r="X462" s="52"/>
    </row>
    <row r="463" ht="15.75" customHeight="1">
      <c r="A463" s="52"/>
      <c r="B463" s="28" t="str">
        <f>IF($A463="","",IFERROR(VLOOKUP($A463,'Resumo por docente'!$A$8:$B$57,2,FALSE),""))</f>
        <v/>
      </c>
      <c r="C463" s="38"/>
      <c r="D463" s="57"/>
      <c r="E463" s="38"/>
      <c r="F463" s="52"/>
      <c r="G463" s="38"/>
      <c r="H463" s="38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48" t="str">
        <f>IF($A463="","",IF(OR($C463="",$D463="",$E463="",$F463=""),"INCOMPLETO",IF(OR($D463&lt;2021,$D463&gt;2026),"ANO FORA DA JANELA",IF(OR(LOWER($U463)&lt;&gt;"sim",LOWER($V463)&lt;&gt;"sim",$G463="",$H463="",$J463="",$K463="",$M463="",$N463="",$Q463="",$R463="",$S463=""),"INCOMPLETO",IF(LEFT($C463,3)="PTT",IF(COUNTIF('Estratos e PTTs'!$B$15:$B$30,$E463)=0,"TIPO PTT INVÁLIDO","OK"),"OK")))))</f>
        <v/>
      </c>
      <c r="X463" s="52"/>
    </row>
    <row r="464" ht="15.75" customHeight="1">
      <c r="A464" s="52"/>
      <c r="B464" s="28" t="str">
        <f>IF($A464="","",IFERROR(VLOOKUP($A464,'Resumo por docente'!$A$8:$B$57,2,FALSE),""))</f>
        <v/>
      </c>
      <c r="C464" s="38"/>
      <c r="D464" s="57"/>
      <c r="E464" s="38"/>
      <c r="F464" s="52"/>
      <c r="G464" s="38"/>
      <c r="H464" s="38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48" t="str">
        <f>IF($A464="","",IF(OR($C464="",$D464="",$E464="",$F464=""),"INCOMPLETO",IF(OR($D464&lt;2021,$D464&gt;2026),"ANO FORA DA JANELA",IF(OR(LOWER($U464)&lt;&gt;"sim",LOWER($V464)&lt;&gt;"sim",$G464="",$H464="",$J464="",$K464="",$M464="",$N464="",$Q464="",$R464="",$S464=""),"INCOMPLETO",IF(LEFT($C464,3)="PTT",IF(COUNTIF('Estratos e PTTs'!$B$15:$B$30,$E464)=0,"TIPO PTT INVÁLIDO","OK"),"OK")))))</f>
        <v/>
      </c>
      <c r="X464" s="52"/>
    </row>
    <row r="465" ht="15.75" customHeight="1">
      <c r="A465" s="52"/>
      <c r="B465" s="28" t="str">
        <f>IF($A465="","",IFERROR(VLOOKUP($A465,'Resumo por docente'!$A$8:$B$57,2,FALSE),""))</f>
        <v/>
      </c>
      <c r="C465" s="38"/>
      <c r="D465" s="57"/>
      <c r="E465" s="38"/>
      <c r="F465" s="52"/>
      <c r="G465" s="38"/>
      <c r="H465" s="38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48" t="str">
        <f>IF($A465="","",IF(OR($C465="",$D465="",$E465="",$F465=""),"INCOMPLETO",IF(OR($D465&lt;2021,$D465&gt;2026),"ANO FORA DA JANELA",IF(OR(LOWER($U465)&lt;&gt;"sim",LOWER($V465)&lt;&gt;"sim",$G465="",$H465="",$J465="",$K465="",$M465="",$N465="",$Q465="",$R465="",$S465=""),"INCOMPLETO",IF(LEFT($C465,3)="PTT",IF(COUNTIF('Estratos e PTTs'!$B$15:$B$30,$E465)=0,"TIPO PTT INVÁLIDO","OK"),"OK")))))</f>
        <v/>
      </c>
      <c r="X465" s="52"/>
    </row>
    <row r="466" ht="15.75" customHeight="1">
      <c r="A466" s="52"/>
      <c r="B466" s="28" t="str">
        <f>IF($A466="","",IFERROR(VLOOKUP($A466,'Resumo por docente'!$A$8:$B$57,2,FALSE),""))</f>
        <v/>
      </c>
      <c r="C466" s="38"/>
      <c r="D466" s="57"/>
      <c r="E466" s="38"/>
      <c r="F466" s="52"/>
      <c r="G466" s="38"/>
      <c r="H466" s="38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48" t="str">
        <f>IF($A466="","",IF(OR($C466="",$D466="",$E466="",$F466=""),"INCOMPLETO",IF(OR($D466&lt;2021,$D466&gt;2026),"ANO FORA DA JANELA",IF(OR(LOWER($U466)&lt;&gt;"sim",LOWER($V466)&lt;&gt;"sim",$G466="",$H466="",$J466="",$K466="",$M466="",$N466="",$Q466="",$R466="",$S466=""),"INCOMPLETO",IF(LEFT($C466,3)="PTT",IF(COUNTIF('Estratos e PTTs'!$B$15:$B$30,$E466)=0,"TIPO PTT INVÁLIDO","OK"),"OK")))))</f>
        <v/>
      </c>
      <c r="X466" s="52"/>
    </row>
    <row r="467" ht="15.75" customHeight="1">
      <c r="A467" s="52"/>
      <c r="B467" s="28" t="str">
        <f>IF($A467="","",IFERROR(VLOOKUP($A467,'Resumo por docente'!$A$8:$B$57,2,FALSE),""))</f>
        <v/>
      </c>
      <c r="C467" s="38"/>
      <c r="D467" s="57"/>
      <c r="E467" s="38"/>
      <c r="F467" s="52"/>
      <c r="G467" s="38"/>
      <c r="H467" s="38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48" t="str">
        <f>IF($A467="","",IF(OR($C467="",$D467="",$E467="",$F467=""),"INCOMPLETO",IF(OR($D467&lt;2021,$D467&gt;2026),"ANO FORA DA JANELA",IF(OR(LOWER($U467)&lt;&gt;"sim",LOWER($V467)&lt;&gt;"sim",$G467="",$H467="",$J467="",$K467="",$M467="",$N467="",$Q467="",$R467="",$S467=""),"INCOMPLETO",IF(LEFT($C467,3)="PTT",IF(COUNTIF('Estratos e PTTs'!$B$15:$B$30,$E467)=0,"TIPO PTT INVÁLIDO","OK"),"OK")))))</f>
        <v/>
      </c>
      <c r="X467" s="52"/>
    </row>
    <row r="468" ht="15.75" customHeight="1">
      <c r="A468" s="52"/>
      <c r="B468" s="28" t="str">
        <f>IF($A468="","",IFERROR(VLOOKUP($A468,'Resumo por docente'!$A$8:$B$57,2,FALSE),""))</f>
        <v/>
      </c>
      <c r="C468" s="38"/>
      <c r="D468" s="57"/>
      <c r="E468" s="38"/>
      <c r="F468" s="52"/>
      <c r="G468" s="38"/>
      <c r="H468" s="38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48" t="str">
        <f>IF($A468="","",IF(OR($C468="",$D468="",$E468="",$F468=""),"INCOMPLETO",IF(OR($D468&lt;2021,$D468&gt;2026),"ANO FORA DA JANELA",IF(OR(LOWER($U468)&lt;&gt;"sim",LOWER($V468)&lt;&gt;"sim",$G468="",$H468="",$J468="",$K468="",$M468="",$N468="",$Q468="",$R468="",$S468=""),"INCOMPLETO",IF(LEFT($C468,3)="PTT",IF(COUNTIF('Estratos e PTTs'!$B$15:$B$30,$E468)=0,"TIPO PTT INVÁLIDO","OK"),"OK")))))</f>
        <v/>
      </c>
      <c r="X468" s="52"/>
    </row>
    <row r="469" ht="15.75" customHeight="1">
      <c r="A469" s="52"/>
      <c r="B469" s="28" t="str">
        <f>IF($A469="","",IFERROR(VLOOKUP($A469,'Resumo por docente'!$A$8:$B$57,2,FALSE),""))</f>
        <v/>
      </c>
      <c r="C469" s="38"/>
      <c r="D469" s="57"/>
      <c r="E469" s="38"/>
      <c r="F469" s="52"/>
      <c r="G469" s="38"/>
      <c r="H469" s="38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48" t="str">
        <f>IF($A469="","",IF(OR($C469="",$D469="",$E469="",$F469=""),"INCOMPLETO",IF(OR($D469&lt;2021,$D469&gt;2026),"ANO FORA DA JANELA",IF(OR(LOWER($U469)&lt;&gt;"sim",LOWER($V469)&lt;&gt;"sim",$G469="",$H469="",$J469="",$K469="",$M469="",$N469="",$Q469="",$R469="",$S469=""),"INCOMPLETO",IF(LEFT($C469,3)="PTT",IF(COUNTIF('Estratos e PTTs'!$B$15:$B$30,$E469)=0,"TIPO PTT INVÁLIDO","OK"),"OK")))))</f>
        <v/>
      </c>
      <c r="X469" s="52"/>
    </row>
    <row r="470" ht="15.75" customHeight="1">
      <c r="A470" s="52"/>
      <c r="B470" s="28" t="str">
        <f>IF($A470="","",IFERROR(VLOOKUP($A470,'Resumo por docente'!$A$8:$B$57,2,FALSE),""))</f>
        <v/>
      </c>
      <c r="C470" s="38"/>
      <c r="D470" s="57"/>
      <c r="E470" s="38"/>
      <c r="F470" s="52"/>
      <c r="G470" s="38"/>
      <c r="H470" s="38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48" t="str">
        <f>IF($A470="","",IF(OR($C470="",$D470="",$E470="",$F470=""),"INCOMPLETO",IF(OR($D470&lt;2021,$D470&gt;2026),"ANO FORA DA JANELA",IF(OR(LOWER($U470)&lt;&gt;"sim",LOWER($V470)&lt;&gt;"sim",$G470="",$H470="",$J470="",$K470="",$M470="",$N470="",$Q470="",$R470="",$S470=""),"INCOMPLETO",IF(LEFT($C470,3)="PTT",IF(COUNTIF('Estratos e PTTs'!$B$15:$B$30,$E470)=0,"TIPO PTT INVÁLIDO","OK"),"OK")))))</f>
        <v/>
      </c>
      <c r="X470" s="52"/>
    </row>
    <row r="471" ht="15.75" customHeight="1">
      <c r="A471" s="52"/>
      <c r="B471" s="28" t="str">
        <f>IF($A471="","",IFERROR(VLOOKUP($A471,'Resumo por docente'!$A$8:$B$57,2,FALSE),""))</f>
        <v/>
      </c>
      <c r="C471" s="38"/>
      <c r="D471" s="57"/>
      <c r="E471" s="38"/>
      <c r="F471" s="52"/>
      <c r="G471" s="38"/>
      <c r="H471" s="38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48" t="str">
        <f>IF($A471="","",IF(OR($C471="",$D471="",$E471="",$F471=""),"INCOMPLETO",IF(OR($D471&lt;2021,$D471&gt;2026),"ANO FORA DA JANELA",IF(OR(LOWER($U471)&lt;&gt;"sim",LOWER($V471)&lt;&gt;"sim",$G471="",$H471="",$J471="",$K471="",$M471="",$N471="",$Q471="",$R471="",$S471=""),"INCOMPLETO",IF(LEFT($C471,3)="PTT",IF(COUNTIF('Estratos e PTTs'!$B$15:$B$30,$E471)=0,"TIPO PTT INVÁLIDO","OK"),"OK")))))</f>
        <v/>
      </c>
      <c r="X471" s="52"/>
    </row>
    <row r="472" ht="15.75" customHeight="1">
      <c r="A472" s="52"/>
      <c r="B472" s="28" t="str">
        <f>IF($A472="","",IFERROR(VLOOKUP($A472,'Resumo por docente'!$A$8:$B$57,2,FALSE),""))</f>
        <v/>
      </c>
      <c r="C472" s="38"/>
      <c r="D472" s="57"/>
      <c r="E472" s="38"/>
      <c r="F472" s="52"/>
      <c r="G472" s="38"/>
      <c r="H472" s="38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48" t="str">
        <f>IF($A472="","",IF(OR($C472="",$D472="",$E472="",$F472=""),"INCOMPLETO",IF(OR($D472&lt;2021,$D472&gt;2026),"ANO FORA DA JANELA",IF(OR(LOWER($U472)&lt;&gt;"sim",LOWER($V472)&lt;&gt;"sim",$G472="",$H472="",$J472="",$K472="",$M472="",$N472="",$Q472="",$R472="",$S472=""),"INCOMPLETO",IF(LEFT($C472,3)="PTT",IF(COUNTIF('Estratos e PTTs'!$B$15:$B$30,$E472)=0,"TIPO PTT INVÁLIDO","OK"),"OK")))))</f>
        <v/>
      </c>
      <c r="X472" s="52"/>
    </row>
    <row r="473" ht="15.75" customHeight="1">
      <c r="A473" s="52"/>
      <c r="B473" s="28" t="str">
        <f>IF($A473="","",IFERROR(VLOOKUP($A473,'Resumo por docente'!$A$8:$B$57,2,FALSE),""))</f>
        <v/>
      </c>
      <c r="C473" s="38"/>
      <c r="D473" s="57"/>
      <c r="E473" s="38"/>
      <c r="F473" s="52"/>
      <c r="G473" s="38"/>
      <c r="H473" s="38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48" t="str">
        <f>IF($A473="","",IF(OR($C473="",$D473="",$E473="",$F473=""),"INCOMPLETO",IF(OR($D473&lt;2021,$D473&gt;2026),"ANO FORA DA JANELA",IF(OR(LOWER($U473)&lt;&gt;"sim",LOWER($V473)&lt;&gt;"sim",$G473="",$H473="",$J473="",$K473="",$M473="",$N473="",$Q473="",$R473="",$S473=""),"INCOMPLETO",IF(LEFT($C473,3)="PTT",IF(COUNTIF('Estratos e PTTs'!$B$15:$B$30,$E473)=0,"TIPO PTT INVÁLIDO","OK"),"OK")))))</f>
        <v/>
      </c>
      <c r="X473" s="52"/>
    </row>
    <row r="474" ht="15.75" customHeight="1">
      <c r="A474" s="52"/>
      <c r="B474" s="28" t="str">
        <f>IF($A474="","",IFERROR(VLOOKUP($A474,'Resumo por docente'!$A$8:$B$57,2,FALSE),""))</f>
        <v/>
      </c>
      <c r="C474" s="38"/>
      <c r="D474" s="57"/>
      <c r="E474" s="38"/>
      <c r="F474" s="52"/>
      <c r="G474" s="38"/>
      <c r="H474" s="38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48" t="str">
        <f>IF($A474="","",IF(OR($C474="",$D474="",$E474="",$F474=""),"INCOMPLETO",IF(OR($D474&lt;2021,$D474&gt;2026),"ANO FORA DA JANELA",IF(OR(LOWER($U474)&lt;&gt;"sim",LOWER($V474)&lt;&gt;"sim",$G474="",$H474="",$J474="",$K474="",$M474="",$N474="",$Q474="",$R474="",$S474=""),"INCOMPLETO",IF(LEFT($C474,3)="PTT",IF(COUNTIF('Estratos e PTTs'!$B$15:$B$30,$E474)=0,"TIPO PTT INVÁLIDO","OK"),"OK")))))</f>
        <v/>
      </c>
      <c r="X474" s="52"/>
    </row>
    <row r="475" ht="15.75" customHeight="1">
      <c r="A475" s="52"/>
      <c r="B475" s="28" t="str">
        <f>IF($A475="","",IFERROR(VLOOKUP($A475,'Resumo por docente'!$A$8:$B$57,2,FALSE),""))</f>
        <v/>
      </c>
      <c r="C475" s="38"/>
      <c r="D475" s="57"/>
      <c r="E475" s="38"/>
      <c r="F475" s="52"/>
      <c r="G475" s="38"/>
      <c r="H475" s="38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48" t="str">
        <f>IF($A475="","",IF(OR($C475="",$D475="",$E475="",$F475=""),"INCOMPLETO",IF(OR($D475&lt;2021,$D475&gt;2026),"ANO FORA DA JANELA",IF(OR(LOWER($U475)&lt;&gt;"sim",LOWER($V475)&lt;&gt;"sim",$G475="",$H475="",$J475="",$K475="",$M475="",$N475="",$Q475="",$R475="",$S475=""),"INCOMPLETO",IF(LEFT($C475,3)="PTT",IF(COUNTIF('Estratos e PTTs'!$B$15:$B$30,$E475)=0,"TIPO PTT INVÁLIDO","OK"),"OK")))))</f>
        <v/>
      </c>
      <c r="X475" s="52"/>
    </row>
    <row r="476" ht="15.75" customHeight="1">
      <c r="A476" s="52"/>
      <c r="B476" s="28" t="str">
        <f>IF($A476="","",IFERROR(VLOOKUP($A476,'Resumo por docente'!$A$8:$B$57,2,FALSE),""))</f>
        <v/>
      </c>
      <c r="C476" s="38"/>
      <c r="D476" s="57"/>
      <c r="E476" s="38"/>
      <c r="F476" s="52"/>
      <c r="G476" s="38"/>
      <c r="H476" s="38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48" t="str">
        <f>IF($A476="","",IF(OR($C476="",$D476="",$E476="",$F476=""),"INCOMPLETO",IF(OR($D476&lt;2021,$D476&gt;2026),"ANO FORA DA JANELA",IF(OR(LOWER($U476)&lt;&gt;"sim",LOWER($V476)&lt;&gt;"sim",$G476="",$H476="",$J476="",$K476="",$M476="",$N476="",$Q476="",$R476="",$S476=""),"INCOMPLETO",IF(LEFT($C476,3)="PTT",IF(COUNTIF('Estratos e PTTs'!$B$15:$B$30,$E476)=0,"TIPO PTT INVÁLIDO","OK"),"OK")))))</f>
        <v/>
      </c>
      <c r="X476" s="52"/>
    </row>
    <row r="477" ht="15.75" customHeight="1">
      <c r="A477" s="52"/>
      <c r="B477" s="28" t="str">
        <f>IF($A477="","",IFERROR(VLOOKUP($A477,'Resumo por docente'!$A$8:$B$57,2,FALSE),""))</f>
        <v/>
      </c>
      <c r="C477" s="38"/>
      <c r="D477" s="57"/>
      <c r="E477" s="38"/>
      <c r="F477" s="52"/>
      <c r="G477" s="38"/>
      <c r="H477" s="38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48" t="str">
        <f>IF($A477="","",IF(OR($C477="",$D477="",$E477="",$F477=""),"INCOMPLETO",IF(OR($D477&lt;2021,$D477&gt;2026),"ANO FORA DA JANELA",IF(OR(LOWER($U477)&lt;&gt;"sim",LOWER($V477)&lt;&gt;"sim",$G477="",$H477="",$J477="",$K477="",$M477="",$N477="",$Q477="",$R477="",$S477=""),"INCOMPLETO",IF(LEFT($C477,3)="PTT",IF(COUNTIF('Estratos e PTTs'!$B$15:$B$30,$E477)=0,"TIPO PTT INVÁLIDO","OK"),"OK")))))</f>
        <v/>
      </c>
      <c r="X477" s="52"/>
    </row>
    <row r="478" ht="15.75" customHeight="1">
      <c r="A478" s="52"/>
      <c r="B478" s="28" t="str">
        <f>IF($A478="","",IFERROR(VLOOKUP($A478,'Resumo por docente'!$A$8:$B$57,2,FALSE),""))</f>
        <v/>
      </c>
      <c r="C478" s="38"/>
      <c r="D478" s="57"/>
      <c r="E478" s="38"/>
      <c r="F478" s="52"/>
      <c r="G478" s="38"/>
      <c r="H478" s="38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48" t="str">
        <f>IF($A478="","",IF(OR($C478="",$D478="",$E478="",$F478=""),"INCOMPLETO",IF(OR($D478&lt;2021,$D478&gt;2026),"ANO FORA DA JANELA",IF(OR(LOWER($U478)&lt;&gt;"sim",LOWER($V478)&lt;&gt;"sim",$G478="",$H478="",$J478="",$K478="",$M478="",$N478="",$Q478="",$R478="",$S478=""),"INCOMPLETO",IF(LEFT($C478,3)="PTT",IF(COUNTIF('Estratos e PTTs'!$B$15:$B$30,$E478)=0,"TIPO PTT INVÁLIDO","OK"),"OK")))))</f>
        <v/>
      </c>
      <c r="X478" s="52"/>
    </row>
    <row r="479" ht="15.75" customHeight="1">
      <c r="A479" s="52"/>
      <c r="B479" s="28" t="str">
        <f>IF($A479="","",IFERROR(VLOOKUP($A479,'Resumo por docente'!$A$8:$B$57,2,FALSE),""))</f>
        <v/>
      </c>
      <c r="C479" s="38"/>
      <c r="D479" s="57"/>
      <c r="E479" s="38"/>
      <c r="F479" s="52"/>
      <c r="G479" s="38"/>
      <c r="H479" s="38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48" t="str">
        <f>IF($A479="","",IF(OR($C479="",$D479="",$E479="",$F479=""),"INCOMPLETO",IF(OR($D479&lt;2021,$D479&gt;2026),"ANO FORA DA JANELA",IF(OR(LOWER($U479)&lt;&gt;"sim",LOWER($V479)&lt;&gt;"sim",$G479="",$H479="",$J479="",$K479="",$M479="",$N479="",$Q479="",$R479="",$S479=""),"INCOMPLETO",IF(LEFT($C479,3)="PTT",IF(COUNTIF('Estratos e PTTs'!$B$15:$B$30,$E479)=0,"TIPO PTT INVÁLIDO","OK"),"OK")))))</f>
        <v/>
      </c>
      <c r="X479" s="52"/>
    </row>
    <row r="480" ht="15.75" customHeight="1">
      <c r="A480" s="52"/>
      <c r="B480" s="28" t="str">
        <f>IF($A480="","",IFERROR(VLOOKUP($A480,'Resumo por docente'!$A$8:$B$57,2,FALSE),""))</f>
        <v/>
      </c>
      <c r="C480" s="38"/>
      <c r="D480" s="57"/>
      <c r="E480" s="38"/>
      <c r="F480" s="52"/>
      <c r="G480" s="38"/>
      <c r="H480" s="38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48" t="str">
        <f>IF($A480="","",IF(OR($C480="",$D480="",$E480="",$F480=""),"INCOMPLETO",IF(OR($D480&lt;2021,$D480&gt;2026),"ANO FORA DA JANELA",IF(OR(LOWER($U480)&lt;&gt;"sim",LOWER($V480)&lt;&gt;"sim",$G480="",$H480="",$J480="",$K480="",$M480="",$N480="",$Q480="",$R480="",$S480=""),"INCOMPLETO",IF(LEFT($C480,3)="PTT",IF(COUNTIF('Estratos e PTTs'!$B$15:$B$30,$E480)=0,"TIPO PTT INVÁLIDO","OK"),"OK")))))</f>
        <v/>
      </c>
      <c r="X480" s="52"/>
    </row>
    <row r="481" ht="15.75" customHeight="1">
      <c r="A481" s="52"/>
      <c r="B481" s="28" t="str">
        <f>IF($A481="","",IFERROR(VLOOKUP($A481,'Resumo por docente'!$A$8:$B$57,2,FALSE),""))</f>
        <v/>
      </c>
      <c r="C481" s="38"/>
      <c r="D481" s="57"/>
      <c r="E481" s="38"/>
      <c r="F481" s="52"/>
      <c r="G481" s="38"/>
      <c r="H481" s="38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48" t="str">
        <f>IF($A481="","",IF(OR($C481="",$D481="",$E481="",$F481=""),"INCOMPLETO",IF(OR($D481&lt;2021,$D481&gt;2026),"ANO FORA DA JANELA",IF(OR(LOWER($U481)&lt;&gt;"sim",LOWER($V481)&lt;&gt;"sim",$G481="",$H481="",$J481="",$K481="",$M481="",$N481="",$Q481="",$R481="",$S481=""),"INCOMPLETO",IF(LEFT($C481,3)="PTT",IF(COUNTIF('Estratos e PTTs'!$B$15:$B$30,$E481)=0,"TIPO PTT INVÁLIDO","OK"),"OK")))))</f>
        <v/>
      </c>
      <c r="X481" s="52"/>
    </row>
    <row r="482" ht="15.75" customHeight="1">
      <c r="A482" s="52"/>
      <c r="B482" s="28" t="str">
        <f>IF($A482="","",IFERROR(VLOOKUP($A482,'Resumo por docente'!$A$8:$B$57,2,FALSE),""))</f>
        <v/>
      </c>
      <c r="C482" s="38"/>
      <c r="D482" s="57"/>
      <c r="E482" s="38"/>
      <c r="F482" s="52"/>
      <c r="G482" s="38"/>
      <c r="H482" s="38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48" t="str">
        <f>IF($A482="","",IF(OR($C482="",$D482="",$E482="",$F482=""),"INCOMPLETO",IF(OR($D482&lt;2021,$D482&gt;2026),"ANO FORA DA JANELA",IF(OR(LOWER($U482)&lt;&gt;"sim",LOWER($V482)&lt;&gt;"sim",$G482="",$H482="",$J482="",$K482="",$M482="",$N482="",$Q482="",$R482="",$S482=""),"INCOMPLETO",IF(LEFT($C482,3)="PTT",IF(COUNTIF('Estratos e PTTs'!$B$15:$B$30,$E482)=0,"TIPO PTT INVÁLIDO","OK"),"OK")))))</f>
        <v/>
      </c>
      <c r="X482" s="52"/>
    </row>
    <row r="483" ht="15.75" customHeight="1">
      <c r="A483" s="52"/>
      <c r="B483" s="28" t="str">
        <f>IF($A483="","",IFERROR(VLOOKUP($A483,'Resumo por docente'!$A$8:$B$57,2,FALSE),""))</f>
        <v/>
      </c>
      <c r="C483" s="38"/>
      <c r="D483" s="57"/>
      <c r="E483" s="38"/>
      <c r="F483" s="52"/>
      <c r="G483" s="38"/>
      <c r="H483" s="38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48" t="str">
        <f>IF($A483="","",IF(OR($C483="",$D483="",$E483="",$F483=""),"INCOMPLETO",IF(OR($D483&lt;2021,$D483&gt;2026),"ANO FORA DA JANELA",IF(OR(LOWER($U483)&lt;&gt;"sim",LOWER($V483)&lt;&gt;"sim",$G483="",$H483="",$J483="",$K483="",$M483="",$N483="",$Q483="",$R483="",$S483=""),"INCOMPLETO",IF(LEFT($C483,3)="PTT",IF(COUNTIF('Estratos e PTTs'!$B$15:$B$30,$E483)=0,"TIPO PTT INVÁLIDO","OK"),"OK")))))</f>
        <v/>
      </c>
      <c r="X483" s="52"/>
    </row>
    <row r="484" ht="15.75" customHeight="1">
      <c r="A484" s="52"/>
      <c r="B484" s="28" t="str">
        <f>IF($A484="","",IFERROR(VLOOKUP($A484,'Resumo por docente'!$A$8:$B$57,2,FALSE),""))</f>
        <v/>
      </c>
      <c r="C484" s="38"/>
      <c r="D484" s="57"/>
      <c r="E484" s="38"/>
      <c r="F484" s="52"/>
      <c r="G484" s="38"/>
      <c r="H484" s="38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48" t="str">
        <f>IF($A484="","",IF(OR($C484="",$D484="",$E484="",$F484=""),"INCOMPLETO",IF(OR($D484&lt;2021,$D484&gt;2026),"ANO FORA DA JANELA",IF(OR(LOWER($U484)&lt;&gt;"sim",LOWER($V484)&lt;&gt;"sim",$G484="",$H484="",$J484="",$K484="",$M484="",$N484="",$Q484="",$R484="",$S484=""),"INCOMPLETO",IF(LEFT($C484,3)="PTT",IF(COUNTIF('Estratos e PTTs'!$B$15:$B$30,$E484)=0,"TIPO PTT INVÁLIDO","OK"),"OK")))))</f>
        <v/>
      </c>
      <c r="X484" s="52"/>
    </row>
    <row r="485" ht="15.75" customHeight="1">
      <c r="A485" s="52"/>
      <c r="B485" s="28" t="str">
        <f>IF($A485="","",IFERROR(VLOOKUP($A485,'Resumo por docente'!$A$8:$B$57,2,FALSE),""))</f>
        <v/>
      </c>
      <c r="C485" s="38"/>
      <c r="D485" s="57"/>
      <c r="E485" s="38"/>
      <c r="F485" s="52"/>
      <c r="G485" s="38"/>
      <c r="H485" s="38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48" t="str">
        <f>IF($A485="","",IF(OR($C485="",$D485="",$E485="",$F485=""),"INCOMPLETO",IF(OR($D485&lt;2021,$D485&gt;2026),"ANO FORA DA JANELA",IF(OR(LOWER($U485)&lt;&gt;"sim",LOWER($V485)&lt;&gt;"sim",$G485="",$H485="",$J485="",$K485="",$M485="",$N485="",$Q485="",$R485="",$S485=""),"INCOMPLETO",IF(LEFT($C485,3)="PTT",IF(COUNTIF('Estratos e PTTs'!$B$15:$B$30,$E485)=0,"TIPO PTT INVÁLIDO","OK"),"OK")))))</f>
        <v/>
      </c>
      <c r="X485" s="52"/>
    </row>
    <row r="486" ht="15.75" customHeight="1">
      <c r="A486" s="52"/>
      <c r="B486" s="28" t="str">
        <f>IF($A486="","",IFERROR(VLOOKUP($A486,'Resumo por docente'!$A$8:$B$57,2,FALSE),""))</f>
        <v/>
      </c>
      <c r="C486" s="38"/>
      <c r="D486" s="57"/>
      <c r="E486" s="38"/>
      <c r="F486" s="52"/>
      <c r="G486" s="38"/>
      <c r="H486" s="38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48" t="str">
        <f>IF($A486="","",IF(OR($C486="",$D486="",$E486="",$F486=""),"INCOMPLETO",IF(OR($D486&lt;2021,$D486&gt;2026),"ANO FORA DA JANELA",IF(OR(LOWER($U486)&lt;&gt;"sim",LOWER($V486)&lt;&gt;"sim",$G486="",$H486="",$J486="",$K486="",$M486="",$N486="",$Q486="",$R486="",$S486=""),"INCOMPLETO",IF(LEFT($C486,3)="PTT",IF(COUNTIF('Estratos e PTTs'!$B$15:$B$30,$E486)=0,"TIPO PTT INVÁLIDO","OK"),"OK")))))</f>
        <v/>
      </c>
      <c r="X486" s="52"/>
    </row>
    <row r="487" ht="15.75" customHeight="1">
      <c r="A487" s="52"/>
      <c r="B487" s="28" t="str">
        <f>IF($A487="","",IFERROR(VLOOKUP($A487,'Resumo por docente'!$A$8:$B$57,2,FALSE),""))</f>
        <v/>
      </c>
      <c r="C487" s="38"/>
      <c r="D487" s="57"/>
      <c r="E487" s="38"/>
      <c r="F487" s="52"/>
      <c r="G487" s="38"/>
      <c r="H487" s="38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48" t="str">
        <f>IF($A487="","",IF(OR($C487="",$D487="",$E487="",$F487=""),"INCOMPLETO",IF(OR($D487&lt;2021,$D487&gt;2026),"ANO FORA DA JANELA",IF(OR(LOWER($U487)&lt;&gt;"sim",LOWER($V487)&lt;&gt;"sim",$G487="",$H487="",$J487="",$K487="",$M487="",$N487="",$Q487="",$R487="",$S487=""),"INCOMPLETO",IF(LEFT($C487,3)="PTT",IF(COUNTIF('Estratos e PTTs'!$B$15:$B$30,$E487)=0,"TIPO PTT INVÁLIDO","OK"),"OK")))))</f>
        <v/>
      </c>
      <c r="X487" s="52"/>
    </row>
    <row r="488" ht="15.75" customHeight="1">
      <c r="A488" s="52"/>
      <c r="B488" s="28" t="str">
        <f>IF($A488="","",IFERROR(VLOOKUP($A488,'Resumo por docente'!$A$8:$B$57,2,FALSE),""))</f>
        <v/>
      </c>
      <c r="C488" s="38"/>
      <c r="D488" s="57"/>
      <c r="E488" s="38"/>
      <c r="F488" s="52"/>
      <c r="G488" s="38"/>
      <c r="H488" s="38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48" t="str">
        <f>IF($A488="","",IF(OR($C488="",$D488="",$E488="",$F488=""),"INCOMPLETO",IF(OR($D488&lt;2021,$D488&gt;2026),"ANO FORA DA JANELA",IF(OR(LOWER($U488)&lt;&gt;"sim",LOWER($V488)&lt;&gt;"sim",$G488="",$H488="",$J488="",$K488="",$M488="",$N488="",$Q488="",$R488="",$S488=""),"INCOMPLETO",IF(LEFT($C488,3)="PTT",IF(COUNTIF('Estratos e PTTs'!$B$15:$B$30,$E488)=0,"TIPO PTT INVÁLIDO","OK"),"OK")))))</f>
        <v/>
      </c>
      <c r="X488" s="52"/>
    </row>
    <row r="489" ht="15.75" customHeight="1">
      <c r="A489" s="52"/>
      <c r="B489" s="28" t="str">
        <f>IF($A489="","",IFERROR(VLOOKUP($A489,'Resumo por docente'!$A$8:$B$57,2,FALSE),""))</f>
        <v/>
      </c>
      <c r="C489" s="38"/>
      <c r="D489" s="57"/>
      <c r="E489" s="38"/>
      <c r="F489" s="52"/>
      <c r="G489" s="38"/>
      <c r="H489" s="38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48" t="str">
        <f>IF($A489="","",IF(OR($C489="",$D489="",$E489="",$F489=""),"INCOMPLETO",IF(OR($D489&lt;2021,$D489&gt;2026),"ANO FORA DA JANELA",IF(OR(LOWER($U489)&lt;&gt;"sim",LOWER($V489)&lt;&gt;"sim",$G489="",$H489="",$J489="",$K489="",$M489="",$N489="",$Q489="",$R489="",$S489=""),"INCOMPLETO",IF(LEFT($C489,3)="PTT",IF(COUNTIF('Estratos e PTTs'!$B$15:$B$30,$E489)=0,"TIPO PTT INVÁLIDO","OK"),"OK")))))</f>
        <v/>
      </c>
      <c r="X489" s="52"/>
    </row>
    <row r="490" ht="15.75" customHeight="1">
      <c r="A490" s="52"/>
      <c r="B490" s="28" t="str">
        <f>IF($A490="","",IFERROR(VLOOKUP($A490,'Resumo por docente'!$A$8:$B$57,2,FALSE),""))</f>
        <v/>
      </c>
      <c r="C490" s="38"/>
      <c r="D490" s="57"/>
      <c r="E490" s="38"/>
      <c r="F490" s="52"/>
      <c r="G490" s="38"/>
      <c r="H490" s="38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48" t="str">
        <f>IF($A490="","",IF(OR($C490="",$D490="",$E490="",$F490=""),"INCOMPLETO",IF(OR($D490&lt;2021,$D490&gt;2026),"ANO FORA DA JANELA",IF(OR(LOWER($U490)&lt;&gt;"sim",LOWER($V490)&lt;&gt;"sim",$G490="",$H490="",$J490="",$K490="",$M490="",$N490="",$Q490="",$R490="",$S490=""),"INCOMPLETO",IF(LEFT($C490,3)="PTT",IF(COUNTIF('Estratos e PTTs'!$B$15:$B$30,$E490)=0,"TIPO PTT INVÁLIDO","OK"),"OK")))))</f>
        <v/>
      </c>
      <c r="X490" s="52"/>
    </row>
    <row r="491" ht="15.75" customHeight="1">
      <c r="A491" s="52"/>
      <c r="B491" s="28" t="str">
        <f>IF($A491="","",IFERROR(VLOOKUP($A491,'Resumo por docente'!$A$8:$B$57,2,FALSE),""))</f>
        <v/>
      </c>
      <c r="C491" s="38"/>
      <c r="D491" s="57"/>
      <c r="E491" s="38"/>
      <c r="F491" s="52"/>
      <c r="G491" s="38"/>
      <c r="H491" s="38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48" t="str">
        <f>IF($A491="","",IF(OR($C491="",$D491="",$E491="",$F491=""),"INCOMPLETO",IF(OR($D491&lt;2021,$D491&gt;2026),"ANO FORA DA JANELA",IF(OR(LOWER($U491)&lt;&gt;"sim",LOWER($V491)&lt;&gt;"sim",$G491="",$H491="",$J491="",$K491="",$M491="",$N491="",$Q491="",$R491="",$S491=""),"INCOMPLETO",IF(LEFT($C491,3)="PTT",IF(COUNTIF('Estratos e PTTs'!$B$15:$B$30,$E491)=0,"TIPO PTT INVÁLIDO","OK"),"OK")))))</f>
        <v/>
      </c>
      <c r="X491" s="52"/>
    </row>
    <row r="492" ht="15.75" customHeight="1">
      <c r="A492" s="52"/>
      <c r="B492" s="28" t="str">
        <f>IF($A492="","",IFERROR(VLOOKUP($A492,'Resumo por docente'!$A$8:$B$57,2,FALSE),""))</f>
        <v/>
      </c>
      <c r="C492" s="38"/>
      <c r="D492" s="57"/>
      <c r="E492" s="38"/>
      <c r="F492" s="52"/>
      <c r="G492" s="38"/>
      <c r="H492" s="38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48" t="str">
        <f>IF($A492="","",IF(OR($C492="",$D492="",$E492="",$F492=""),"INCOMPLETO",IF(OR($D492&lt;2021,$D492&gt;2026),"ANO FORA DA JANELA",IF(OR(LOWER($U492)&lt;&gt;"sim",LOWER($V492)&lt;&gt;"sim",$G492="",$H492="",$J492="",$K492="",$M492="",$N492="",$Q492="",$R492="",$S492=""),"INCOMPLETO",IF(LEFT($C492,3)="PTT",IF(COUNTIF('Estratos e PTTs'!$B$15:$B$30,$E492)=0,"TIPO PTT INVÁLIDO","OK"),"OK")))))</f>
        <v/>
      </c>
      <c r="X492" s="52"/>
    </row>
    <row r="493" ht="15.75" customHeight="1">
      <c r="A493" s="52"/>
      <c r="B493" s="28" t="str">
        <f>IF($A493="","",IFERROR(VLOOKUP($A493,'Resumo por docente'!$A$8:$B$57,2,FALSE),""))</f>
        <v/>
      </c>
      <c r="C493" s="38"/>
      <c r="D493" s="57"/>
      <c r="E493" s="38"/>
      <c r="F493" s="52"/>
      <c r="G493" s="38"/>
      <c r="H493" s="38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48" t="str">
        <f>IF($A493="","",IF(OR($C493="",$D493="",$E493="",$F493=""),"INCOMPLETO",IF(OR($D493&lt;2021,$D493&gt;2026),"ANO FORA DA JANELA",IF(OR(LOWER($U493)&lt;&gt;"sim",LOWER($V493)&lt;&gt;"sim",$G493="",$H493="",$J493="",$K493="",$M493="",$N493="",$Q493="",$R493="",$S493=""),"INCOMPLETO",IF(LEFT($C493,3)="PTT",IF(COUNTIF('Estratos e PTTs'!$B$15:$B$30,$E493)=0,"TIPO PTT INVÁLIDO","OK"),"OK")))))</f>
        <v/>
      </c>
      <c r="X493" s="52"/>
    </row>
    <row r="494" ht="15.75" customHeight="1">
      <c r="A494" s="52"/>
      <c r="B494" s="28" t="str">
        <f>IF($A494="","",IFERROR(VLOOKUP($A494,'Resumo por docente'!$A$8:$B$57,2,FALSE),""))</f>
        <v/>
      </c>
      <c r="C494" s="38"/>
      <c r="D494" s="57"/>
      <c r="E494" s="38"/>
      <c r="F494" s="52"/>
      <c r="G494" s="38"/>
      <c r="H494" s="38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48" t="str">
        <f>IF($A494="","",IF(OR($C494="",$D494="",$E494="",$F494=""),"INCOMPLETO",IF(OR($D494&lt;2021,$D494&gt;2026),"ANO FORA DA JANELA",IF(OR(LOWER($U494)&lt;&gt;"sim",LOWER($V494)&lt;&gt;"sim",$G494="",$H494="",$J494="",$K494="",$M494="",$N494="",$Q494="",$R494="",$S494=""),"INCOMPLETO",IF(LEFT($C494,3)="PTT",IF(COUNTIF('Estratos e PTTs'!$B$15:$B$30,$E494)=0,"TIPO PTT INVÁLIDO","OK"),"OK")))))</f>
        <v/>
      </c>
      <c r="X494" s="52"/>
    </row>
    <row r="495" ht="15.75" customHeight="1">
      <c r="A495" s="52"/>
      <c r="B495" s="28" t="str">
        <f>IF($A495="","",IFERROR(VLOOKUP($A495,'Resumo por docente'!$A$8:$B$57,2,FALSE),""))</f>
        <v/>
      </c>
      <c r="C495" s="38"/>
      <c r="D495" s="57"/>
      <c r="E495" s="38"/>
      <c r="F495" s="52"/>
      <c r="G495" s="38"/>
      <c r="H495" s="38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48" t="str">
        <f>IF($A495="","",IF(OR($C495="",$D495="",$E495="",$F495=""),"INCOMPLETO",IF(OR($D495&lt;2021,$D495&gt;2026),"ANO FORA DA JANELA",IF(OR(LOWER($U495)&lt;&gt;"sim",LOWER($V495)&lt;&gt;"sim",$G495="",$H495="",$J495="",$K495="",$M495="",$N495="",$Q495="",$R495="",$S495=""),"INCOMPLETO",IF(LEFT($C495,3)="PTT",IF(COUNTIF('Estratos e PTTs'!$B$15:$B$30,$E495)=0,"TIPO PTT INVÁLIDO","OK"),"OK")))))</f>
        <v/>
      </c>
      <c r="X495" s="52"/>
    </row>
    <row r="496" ht="15.75" customHeight="1">
      <c r="A496" s="52"/>
      <c r="B496" s="28" t="str">
        <f>IF($A496="","",IFERROR(VLOOKUP($A496,'Resumo por docente'!$A$8:$B$57,2,FALSE),""))</f>
        <v/>
      </c>
      <c r="C496" s="38"/>
      <c r="D496" s="57"/>
      <c r="E496" s="38"/>
      <c r="F496" s="52"/>
      <c r="G496" s="38"/>
      <c r="H496" s="38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48" t="str">
        <f>IF($A496="","",IF(OR($C496="",$D496="",$E496="",$F496=""),"INCOMPLETO",IF(OR($D496&lt;2021,$D496&gt;2026),"ANO FORA DA JANELA",IF(OR(LOWER($U496)&lt;&gt;"sim",LOWER($V496)&lt;&gt;"sim",$G496="",$H496="",$J496="",$K496="",$M496="",$N496="",$Q496="",$R496="",$S496=""),"INCOMPLETO",IF(LEFT($C496,3)="PTT",IF(COUNTIF('Estratos e PTTs'!$B$15:$B$30,$E496)=0,"TIPO PTT INVÁLIDO","OK"),"OK")))))</f>
        <v/>
      </c>
      <c r="X496" s="52"/>
    </row>
    <row r="497" ht="15.75" customHeight="1">
      <c r="A497" s="52"/>
      <c r="B497" s="28" t="str">
        <f>IF($A497="","",IFERROR(VLOOKUP($A497,'Resumo por docente'!$A$8:$B$57,2,FALSE),""))</f>
        <v/>
      </c>
      <c r="C497" s="38"/>
      <c r="D497" s="57"/>
      <c r="E497" s="38"/>
      <c r="F497" s="52"/>
      <c r="G497" s="38"/>
      <c r="H497" s="38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48" t="str">
        <f>IF($A497="","",IF(OR($C497="",$D497="",$E497="",$F497=""),"INCOMPLETO",IF(OR($D497&lt;2021,$D497&gt;2026),"ANO FORA DA JANELA",IF(OR(LOWER($U497)&lt;&gt;"sim",LOWER($V497)&lt;&gt;"sim",$G497="",$H497="",$J497="",$K497="",$M497="",$N497="",$Q497="",$R497="",$S497=""),"INCOMPLETO",IF(LEFT($C497,3)="PTT",IF(COUNTIF('Estratos e PTTs'!$B$15:$B$30,$E497)=0,"TIPO PTT INVÁLIDO","OK"),"OK")))))</f>
        <v/>
      </c>
      <c r="X497" s="52"/>
    </row>
    <row r="498" ht="15.75" customHeight="1">
      <c r="A498" s="52"/>
      <c r="B498" s="28" t="str">
        <f>IF($A498="","",IFERROR(VLOOKUP($A498,'Resumo por docente'!$A$8:$B$57,2,FALSE),""))</f>
        <v/>
      </c>
      <c r="C498" s="38"/>
      <c r="D498" s="57"/>
      <c r="E498" s="38"/>
      <c r="F498" s="52"/>
      <c r="G498" s="38"/>
      <c r="H498" s="38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48" t="str">
        <f>IF($A498="","",IF(OR($C498="",$D498="",$E498="",$F498=""),"INCOMPLETO",IF(OR($D498&lt;2021,$D498&gt;2026),"ANO FORA DA JANELA",IF(OR(LOWER($U498)&lt;&gt;"sim",LOWER($V498)&lt;&gt;"sim",$G498="",$H498="",$J498="",$K498="",$M498="",$N498="",$Q498="",$R498="",$S498=""),"INCOMPLETO",IF(LEFT($C498,3)="PTT",IF(COUNTIF('Estratos e PTTs'!$B$15:$B$30,$E498)=0,"TIPO PTT INVÁLIDO","OK"),"OK")))))</f>
        <v/>
      </c>
      <c r="X498" s="52"/>
    </row>
    <row r="499" ht="15.75" customHeight="1">
      <c r="A499" s="52"/>
      <c r="B499" s="28" t="str">
        <f>IF($A499="","",IFERROR(VLOOKUP($A499,'Resumo por docente'!$A$8:$B$57,2,FALSE),""))</f>
        <v/>
      </c>
      <c r="C499" s="38"/>
      <c r="D499" s="57"/>
      <c r="E499" s="38"/>
      <c r="F499" s="52"/>
      <c r="G499" s="38"/>
      <c r="H499" s="38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48" t="str">
        <f>IF($A499="","",IF(OR($C499="",$D499="",$E499="",$F499=""),"INCOMPLETO",IF(OR($D499&lt;2021,$D499&gt;2026),"ANO FORA DA JANELA",IF(OR(LOWER($U499)&lt;&gt;"sim",LOWER($V499)&lt;&gt;"sim",$G499="",$H499="",$J499="",$K499="",$M499="",$N499="",$Q499="",$R499="",$S499=""),"INCOMPLETO",IF(LEFT($C499,3)="PTT",IF(COUNTIF('Estratos e PTTs'!$B$15:$B$30,$E499)=0,"TIPO PTT INVÁLIDO","OK"),"OK")))))</f>
        <v/>
      </c>
      <c r="X499" s="52"/>
    </row>
    <row r="500" ht="15.75" customHeight="1">
      <c r="A500" s="52"/>
      <c r="B500" s="28" t="str">
        <f>IF($A500="","",IFERROR(VLOOKUP($A500,'Resumo por docente'!$A$8:$B$57,2,FALSE),""))</f>
        <v/>
      </c>
      <c r="C500" s="38"/>
      <c r="D500" s="57"/>
      <c r="E500" s="38"/>
      <c r="F500" s="52"/>
      <c r="G500" s="38"/>
      <c r="H500" s="38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48" t="str">
        <f>IF($A500="","",IF(OR($C500="",$D500="",$E500="",$F500=""),"INCOMPLETO",IF(OR($D500&lt;2021,$D500&gt;2026),"ANO FORA DA JANELA",IF(OR(LOWER($U500)&lt;&gt;"sim",LOWER($V500)&lt;&gt;"sim",$G500="",$H500="",$J500="",$K500="",$M500="",$N500="",$Q500="",$R500="",$S500=""),"INCOMPLETO",IF(LEFT($C500,3)="PTT",IF(COUNTIF('Estratos e PTTs'!$B$15:$B$30,$E500)=0,"TIPO PTT INVÁLIDO","OK"),"OK")))))</f>
        <v/>
      </c>
      <c r="X500" s="52"/>
    </row>
    <row r="501" ht="15.75" customHeight="1">
      <c r="A501" s="52"/>
      <c r="B501" s="28" t="str">
        <f>IF($A501="","",IFERROR(VLOOKUP($A501,'Resumo por docente'!$A$8:$B$57,2,FALSE),""))</f>
        <v/>
      </c>
      <c r="C501" s="38"/>
      <c r="D501" s="57"/>
      <c r="E501" s="38"/>
      <c r="F501" s="52"/>
      <c r="G501" s="38"/>
      <c r="H501" s="38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48" t="str">
        <f>IF($A501="","",IF(OR($C501="",$D501="",$E501="",$F501=""),"INCOMPLETO",IF(OR($D501&lt;2021,$D501&gt;2026),"ANO FORA DA JANELA",IF(OR(LOWER($U501)&lt;&gt;"sim",LOWER($V501)&lt;&gt;"sim",$G501="",$H501="",$J501="",$K501="",$M501="",$N501="",$Q501="",$R501="",$S501=""),"INCOMPLETO",IF(LEFT($C501,3)="PTT",IF(COUNTIF('Estratos e PTTs'!$B$15:$B$30,$E501)=0,"TIPO PTT INVÁLIDO","OK"),"OK")))))</f>
        <v/>
      </c>
      <c r="X501" s="52"/>
    </row>
    <row r="502" ht="15.75" customHeight="1">
      <c r="A502" s="60"/>
      <c r="B502" s="60"/>
      <c r="F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</row>
    <row r="503" ht="15.75" customHeight="1">
      <c r="A503" s="60"/>
      <c r="B503" s="60"/>
      <c r="F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</row>
    <row r="504" ht="15.75" customHeight="1">
      <c r="A504" s="60"/>
      <c r="B504" s="60"/>
      <c r="F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</row>
    <row r="505" ht="15.75" customHeight="1">
      <c r="A505" s="60"/>
      <c r="B505" s="60"/>
      <c r="F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</row>
    <row r="506" ht="15.75" customHeight="1">
      <c r="A506" s="60"/>
      <c r="B506" s="60"/>
      <c r="F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</row>
    <row r="507" ht="15.75" customHeight="1">
      <c r="A507" s="60"/>
      <c r="B507" s="60"/>
      <c r="F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</row>
    <row r="508" ht="15.75" customHeight="1">
      <c r="A508" s="60"/>
      <c r="B508" s="60"/>
      <c r="F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</row>
    <row r="509" ht="15.75" customHeight="1">
      <c r="A509" s="60"/>
      <c r="B509" s="60"/>
      <c r="F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</row>
    <row r="510" ht="15.75" customHeight="1">
      <c r="A510" s="60"/>
      <c r="B510" s="60"/>
      <c r="F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</row>
    <row r="511" ht="15.75" customHeight="1">
      <c r="A511" s="60"/>
      <c r="B511" s="60"/>
      <c r="F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</row>
    <row r="512" ht="15.75" customHeight="1">
      <c r="A512" s="60"/>
      <c r="B512" s="60"/>
      <c r="F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</row>
    <row r="513" ht="15.75" customHeight="1">
      <c r="A513" s="60"/>
      <c r="B513" s="60"/>
      <c r="F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</row>
    <row r="514" ht="15.75" customHeight="1">
      <c r="A514" s="60"/>
      <c r="B514" s="60"/>
      <c r="F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</row>
    <row r="515" ht="15.75" customHeight="1">
      <c r="A515" s="60"/>
      <c r="B515" s="60"/>
      <c r="F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</row>
    <row r="516" ht="15.75" customHeight="1">
      <c r="A516" s="60"/>
      <c r="B516" s="60"/>
      <c r="F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</row>
    <row r="517" ht="15.75" customHeight="1">
      <c r="A517" s="60"/>
      <c r="B517" s="60"/>
      <c r="F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</row>
    <row r="518" ht="15.75" customHeight="1">
      <c r="A518" s="60"/>
      <c r="B518" s="60"/>
      <c r="F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</row>
    <row r="519" ht="15.75" customHeight="1">
      <c r="A519" s="60"/>
      <c r="B519" s="60"/>
      <c r="F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</row>
    <row r="520" ht="15.75" customHeight="1">
      <c r="A520" s="60"/>
      <c r="B520" s="60"/>
      <c r="F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</row>
    <row r="521" ht="15.75" customHeight="1">
      <c r="A521" s="60"/>
      <c r="B521" s="60"/>
      <c r="F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</row>
    <row r="522" ht="15.75" customHeight="1">
      <c r="A522" s="60"/>
      <c r="B522" s="60"/>
      <c r="F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</row>
    <row r="523" ht="15.75" customHeight="1">
      <c r="A523" s="60"/>
      <c r="B523" s="60"/>
      <c r="F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</row>
    <row r="524" ht="15.75" customHeight="1">
      <c r="A524" s="60"/>
      <c r="B524" s="60"/>
      <c r="F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</row>
    <row r="525" ht="15.75" customHeight="1">
      <c r="A525" s="60"/>
      <c r="B525" s="60"/>
      <c r="F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</row>
    <row r="526" ht="15.75" customHeight="1">
      <c r="A526" s="60"/>
      <c r="B526" s="60"/>
      <c r="F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</row>
    <row r="527" ht="15.75" customHeight="1">
      <c r="A527" s="60"/>
      <c r="B527" s="60"/>
      <c r="F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</row>
    <row r="528" ht="15.75" customHeight="1">
      <c r="A528" s="60"/>
      <c r="B528" s="60"/>
      <c r="F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</row>
    <row r="529" ht="15.75" customHeight="1">
      <c r="A529" s="60"/>
      <c r="B529" s="60"/>
      <c r="F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</row>
    <row r="530" ht="15.75" customHeight="1">
      <c r="A530" s="60"/>
      <c r="B530" s="60"/>
      <c r="F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</row>
    <row r="531" ht="15.75" customHeight="1">
      <c r="A531" s="60"/>
      <c r="B531" s="60"/>
      <c r="F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</row>
    <row r="532" ht="15.75" customHeight="1">
      <c r="A532" s="60"/>
      <c r="B532" s="60"/>
      <c r="F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</row>
    <row r="533" ht="15.75" customHeight="1">
      <c r="A533" s="60"/>
      <c r="B533" s="60"/>
      <c r="F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</row>
    <row r="534" ht="15.75" customHeight="1">
      <c r="A534" s="60"/>
      <c r="B534" s="60"/>
      <c r="F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</row>
    <row r="535" ht="15.75" customHeight="1">
      <c r="A535" s="60"/>
      <c r="B535" s="60"/>
      <c r="F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</row>
    <row r="536" ht="15.75" customHeight="1">
      <c r="A536" s="60"/>
      <c r="B536" s="60"/>
      <c r="F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</row>
    <row r="537" ht="15.75" customHeight="1">
      <c r="A537" s="60"/>
      <c r="B537" s="60"/>
      <c r="F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</row>
    <row r="538" ht="15.75" customHeight="1">
      <c r="A538" s="60"/>
      <c r="B538" s="60"/>
      <c r="F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</row>
    <row r="539" ht="15.75" customHeight="1">
      <c r="A539" s="60"/>
      <c r="B539" s="60"/>
      <c r="F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</row>
    <row r="540" ht="15.75" customHeight="1">
      <c r="A540" s="60"/>
      <c r="B540" s="60"/>
      <c r="F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</row>
    <row r="541" ht="15.75" customHeight="1">
      <c r="A541" s="60"/>
      <c r="B541" s="60"/>
      <c r="F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</row>
    <row r="542" ht="15.75" customHeight="1">
      <c r="A542" s="60"/>
      <c r="B542" s="60"/>
      <c r="F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</row>
    <row r="543" ht="15.75" customHeight="1">
      <c r="A543" s="60"/>
      <c r="B543" s="60"/>
      <c r="F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</row>
    <row r="544" ht="15.75" customHeight="1">
      <c r="A544" s="60"/>
      <c r="B544" s="60"/>
      <c r="F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</row>
    <row r="545" ht="15.75" customHeight="1">
      <c r="A545" s="60"/>
      <c r="B545" s="60"/>
      <c r="F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</row>
    <row r="546" ht="15.75" customHeight="1">
      <c r="A546" s="60"/>
      <c r="B546" s="60"/>
      <c r="F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</row>
    <row r="547" ht="15.75" customHeight="1">
      <c r="A547" s="60"/>
      <c r="B547" s="60"/>
      <c r="F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</row>
    <row r="548" ht="15.75" customHeight="1">
      <c r="A548" s="60"/>
      <c r="B548" s="60"/>
      <c r="F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</row>
    <row r="549" ht="15.75" customHeight="1">
      <c r="A549" s="60"/>
      <c r="B549" s="60"/>
      <c r="F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</row>
    <row r="550" ht="15.75" customHeight="1">
      <c r="A550" s="60"/>
      <c r="B550" s="60"/>
      <c r="F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</row>
    <row r="551" ht="15.75" customHeight="1">
      <c r="A551" s="60"/>
      <c r="B551" s="60"/>
      <c r="F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</row>
    <row r="552" ht="15.75" customHeight="1">
      <c r="A552" s="60"/>
      <c r="B552" s="60"/>
      <c r="F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</row>
    <row r="553" ht="15.75" customHeight="1">
      <c r="A553" s="60"/>
      <c r="B553" s="60"/>
      <c r="F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</row>
    <row r="554" ht="15.75" customHeight="1">
      <c r="A554" s="60"/>
      <c r="B554" s="60"/>
      <c r="F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</row>
    <row r="555" ht="15.75" customHeight="1">
      <c r="A555" s="60"/>
      <c r="B555" s="60"/>
      <c r="F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</row>
    <row r="556" ht="15.75" customHeight="1">
      <c r="A556" s="60"/>
      <c r="B556" s="60"/>
      <c r="F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</row>
    <row r="557" ht="15.75" customHeight="1">
      <c r="A557" s="60"/>
      <c r="B557" s="60"/>
      <c r="F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</row>
    <row r="558" ht="15.75" customHeight="1">
      <c r="A558" s="60"/>
      <c r="B558" s="60"/>
      <c r="F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</row>
    <row r="559" ht="15.75" customHeight="1">
      <c r="A559" s="60"/>
      <c r="B559" s="60"/>
      <c r="F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</row>
    <row r="560" ht="15.75" customHeight="1">
      <c r="A560" s="60"/>
      <c r="B560" s="60"/>
      <c r="F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</row>
    <row r="561" ht="15.75" customHeight="1">
      <c r="A561" s="60"/>
      <c r="B561" s="60"/>
      <c r="F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</row>
    <row r="562" ht="15.75" customHeight="1">
      <c r="A562" s="60"/>
      <c r="B562" s="60"/>
      <c r="F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</row>
    <row r="563" ht="15.75" customHeight="1">
      <c r="A563" s="60"/>
      <c r="B563" s="60"/>
      <c r="F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</row>
    <row r="564" ht="15.75" customHeight="1">
      <c r="A564" s="60"/>
      <c r="B564" s="60"/>
      <c r="F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</row>
    <row r="565" ht="15.75" customHeight="1">
      <c r="A565" s="60"/>
      <c r="B565" s="60"/>
      <c r="F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</row>
    <row r="566" ht="15.75" customHeight="1">
      <c r="A566" s="60"/>
      <c r="B566" s="60"/>
      <c r="F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</row>
    <row r="567" ht="15.75" customHeight="1">
      <c r="A567" s="60"/>
      <c r="B567" s="60"/>
      <c r="F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</row>
    <row r="568" ht="15.75" customHeight="1">
      <c r="A568" s="60"/>
      <c r="B568" s="60"/>
      <c r="F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</row>
    <row r="569" ht="15.75" customHeight="1">
      <c r="A569" s="60"/>
      <c r="B569" s="60"/>
      <c r="F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</row>
    <row r="570" ht="15.75" customHeight="1">
      <c r="A570" s="60"/>
      <c r="B570" s="60"/>
      <c r="F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</row>
    <row r="571" ht="15.75" customHeight="1">
      <c r="A571" s="60"/>
      <c r="B571" s="60"/>
      <c r="F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</row>
    <row r="572" ht="15.75" customHeight="1">
      <c r="A572" s="60"/>
      <c r="B572" s="60"/>
      <c r="F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</row>
    <row r="573" ht="15.75" customHeight="1">
      <c r="A573" s="60"/>
      <c r="B573" s="60"/>
      <c r="F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</row>
    <row r="574" ht="15.75" customHeight="1">
      <c r="A574" s="60"/>
      <c r="B574" s="60"/>
      <c r="F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</row>
    <row r="575" ht="15.75" customHeight="1">
      <c r="A575" s="60"/>
      <c r="B575" s="60"/>
      <c r="F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</row>
    <row r="576" ht="15.75" customHeight="1">
      <c r="A576" s="60"/>
      <c r="B576" s="60"/>
      <c r="F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</row>
    <row r="577" ht="15.75" customHeight="1">
      <c r="A577" s="60"/>
      <c r="B577" s="60"/>
      <c r="F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</row>
    <row r="578" ht="15.75" customHeight="1">
      <c r="A578" s="60"/>
      <c r="B578" s="60"/>
      <c r="F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</row>
    <row r="579" ht="15.75" customHeight="1">
      <c r="A579" s="60"/>
      <c r="B579" s="60"/>
      <c r="F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</row>
    <row r="580" ht="15.75" customHeight="1">
      <c r="A580" s="60"/>
      <c r="B580" s="60"/>
      <c r="F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</row>
    <row r="581" ht="15.75" customHeight="1">
      <c r="A581" s="60"/>
      <c r="B581" s="60"/>
      <c r="F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</row>
    <row r="582" ht="15.75" customHeight="1">
      <c r="A582" s="60"/>
      <c r="B582" s="60"/>
      <c r="F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</row>
    <row r="583" ht="15.75" customHeight="1">
      <c r="A583" s="60"/>
      <c r="B583" s="60"/>
      <c r="F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</row>
    <row r="584" ht="15.75" customHeight="1">
      <c r="A584" s="60"/>
      <c r="B584" s="60"/>
      <c r="F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</row>
    <row r="585" ht="15.75" customHeight="1">
      <c r="A585" s="60"/>
      <c r="B585" s="60"/>
      <c r="F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</row>
    <row r="586" ht="15.75" customHeight="1">
      <c r="A586" s="60"/>
      <c r="B586" s="60"/>
      <c r="F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</row>
    <row r="587" ht="15.75" customHeight="1">
      <c r="A587" s="60"/>
      <c r="B587" s="60"/>
      <c r="F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</row>
    <row r="588" ht="15.75" customHeight="1">
      <c r="A588" s="60"/>
      <c r="B588" s="60"/>
      <c r="F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</row>
    <row r="589" ht="15.75" customHeight="1">
      <c r="A589" s="60"/>
      <c r="B589" s="60"/>
      <c r="F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</row>
    <row r="590" ht="15.75" customHeight="1">
      <c r="A590" s="60"/>
      <c r="B590" s="60"/>
      <c r="F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</row>
    <row r="591" ht="15.75" customHeight="1">
      <c r="A591" s="60"/>
      <c r="B591" s="60"/>
      <c r="F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</row>
    <row r="592" ht="15.75" customHeight="1">
      <c r="A592" s="60"/>
      <c r="B592" s="60"/>
      <c r="F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</row>
    <row r="593" ht="15.75" customHeight="1">
      <c r="A593" s="60"/>
      <c r="B593" s="60"/>
      <c r="F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</row>
    <row r="594" ht="15.75" customHeight="1">
      <c r="A594" s="60"/>
      <c r="B594" s="60"/>
      <c r="F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</row>
    <row r="595" ht="15.75" customHeight="1">
      <c r="A595" s="60"/>
      <c r="B595" s="60"/>
      <c r="F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</row>
    <row r="596" ht="15.75" customHeight="1">
      <c r="A596" s="60"/>
      <c r="B596" s="60"/>
      <c r="F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</row>
    <row r="597" ht="15.75" customHeight="1">
      <c r="A597" s="60"/>
      <c r="B597" s="60"/>
      <c r="F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</row>
    <row r="598" ht="15.75" customHeight="1">
      <c r="A598" s="60"/>
      <c r="B598" s="60"/>
      <c r="F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</row>
    <row r="599" ht="15.75" customHeight="1">
      <c r="A599" s="60"/>
      <c r="B599" s="60"/>
      <c r="F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</row>
    <row r="600" ht="15.75" customHeight="1">
      <c r="A600" s="60"/>
      <c r="B600" s="60"/>
      <c r="F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</row>
    <row r="601" ht="15.75" customHeight="1">
      <c r="A601" s="60"/>
      <c r="B601" s="60"/>
      <c r="F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</row>
    <row r="602" ht="15.75" customHeight="1">
      <c r="A602" s="60"/>
      <c r="B602" s="60"/>
      <c r="F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</row>
    <row r="603" ht="15.75" customHeight="1">
      <c r="A603" s="60"/>
      <c r="B603" s="60"/>
      <c r="F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</row>
    <row r="604" ht="15.75" customHeight="1">
      <c r="A604" s="60"/>
      <c r="B604" s="60"/>
      <c r="F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</row>
    <row r="605" ht="15.75" customHeight="1">
      <c r="A605" s="60"/>
      <c r="B605" s="60"/>
      <c r="F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</row>
    <row r="606" ht="15.75" customHeight="1">
      <c r="A606" s="60"/>
      <c r="B606" s="60"/>
      <c r="F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</row>
    <row r="607" ht="15.75" customHeight="1">
      <c r="A607" s="60"/>
      <c r="B607" s="60"/>
      <c r="F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</row>
    <row r="608" ht="15.75" customHeight="1">
      <c r="A608" s="60"/>
      <c r="B608" s="60"/>
      <c r="F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</row>
    <row r="609" ht="15.75" customHeight="1">
      <c r="A609" s="60"/>
      <c r="B609" s="60"/>
      <c r="F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</row>
    <row r="610" ht="15.75" customHeight="1">
      <c r="A610" s="60"/>
      <c r="B610" s="60"/>
      <c r="F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</row>
    <row r="611" ht="15.75" customHeight="1">
      <c r="A611" s="60"/>
      <c r="B611" s="60"/>
      <c r="F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</row>
    <row r="612" ht="15.75" customHeight="1">
      <c r="A612" s="60"/>
      <c r="B612" s="60"/>
      <c r="F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</row>
    <row r="613" ht="15.75" customHeight="1">
      <c r="A613" s="60"/>
      <c r="B613" s="60"/>
      <c r="F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</row>
    <row r="614" ht="15.75" customHeight="1">
      <c r="A614" s="60"/>
      <c r="B614" s="60"/>
      <c r="F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</row>
    <row r="615" ht="15.75" customHeight="1">
      <c r="A615" s="60"/>
      <c r="B615" s="60"/>
      <c r="F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</row>
    <row r="616" ht="15.75" customHeight="1">
      <c r="A616" s="60"/>
      <c r="B616" s="60"/>
      <c r="F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</row>
    <row r="617" ht="15.75" customHeight="1">
      <c r="A617" s="60"/>
      <c r="B617" s="60"/>
      <c r="F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</row>
    <row r="618" ht="15.75" customHeight="1">
      <c r="A618" s="60"/>
      <c r="B618" s="60"/>
      <c r="F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</row>
    <row r="619" ht="15.75" customHeight="1">
      <c r="A619" s="60"/>
      <c r="B619" s="60"/>
      <c r="F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</row>
    <row r="620" ht="15.75" customHeight="1">
      <c r="A620" s="60"/>
      <c r="B620" s="60"/>
      <c r="F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</row>
    <row r="621" ht="15.75" customHeight="1">
      <c r="A621" s="60"/>
      <c r="B621" s="60"/>
      <c r="F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</row>
    <row r="622" ht="15.75" customHeight="1">
      <c r="A622" s="60"/>
      <c r="B622" s="60"/>
      <c r="F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</row>
    <row r="623" ht="15.75" customHeight="1">
      <c r="A623" s="60"/>
      <c r="B623" s="60"/>
      <c r="F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</row>
    <row r="624" ht="15.75" customHeight="1">
      <c r="A624" s="60"/>
      <c r="B624" s="60"/>
      <c r="F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</row>
    <row r="625" ht="15.75" customHeight="1">
      <c r="A625" s="60"/>
      <c r="B625" s="60"/>
      <c r="F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</row>
    <row r="626" ht="15.75" customHeight="1">
      <c r="A626" s="60"/>
      <c r="B626" s="60"/>
      <c r="F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</row>
    <row r="627" ht="15.75" customHeight="1">
      <c r="A627" s="60"/>
      <c r="B627" s="60"/>
      <c r="F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</row>
    <row r="628" ht="15.75" customHeight="1">
      <c r="A628" s="60"/>
      <c r="B628" s="60"/>
      <c r="F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</row>
    <row r="629" ht="15.75" customHeight="1">
      <c r="A629" s="60"/>
      <c r="B629" s="60"/>
      <c r="F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</row>
    <row r="630" ht="15.75" customHeight="1">
      <c r="A630" s="60"/>
      <c r="B630" s="60"/>
      <c r="F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</row>
    <row r="631" ht="15.75" customHeight="1">
      <c r="A631" s="60"/>
      <c r="B631" s="60"/>
      <c r="F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</row>
    <row r="632" ht="15.75" customHeight="1">
      <c r="A632" s="60"/>
      <c r="B632" s="60"/>
      <c r="F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</row>
    <row r="633" ht="15.75" customHeight="1">
      <c r="A633" s="60"/>
      <c r="B633" s="60"/>
      <c r="F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</row>
    <row r="634" ht="15.75" customHeight="1">
      <c r="A634" s="60"/>
      <c r="B634" s="60"/>
      <c r="F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</row>
    <row r="635" ht="15.75" customHeight="1">
      <c r="A635" s="60"/>
      <c r="B635" s="60"/>
      <c r="F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</row>
    <row r="636" ht="15.75" customHeight="1">
      <c r="A636" s="60"/>
      <c r="B636" s="60"/>
      <c r="F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</row>
    <row r="637" ht="15.75" customHeight="1">
      <c r="A637" s="60"/>
      <c r="B637" s="60"/>
      <c r="F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</row>
    <row r="638" ht="15.75" customHeight="1">
      <c r="A638" s="60"/>
      <c r="B638" s="60"/>
      <c r="F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</row>
    <row r="639" ht="15.75" customHeight="1">
      <c r="A639" s="60"/>
      <c r="B639" s="60"/>
      <c r="F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</row>
    <row r="640" ht="15.75" customHeight="1">
      <c r="A640" s="60"/>
      <c r="B640" s="60"/>
      <c r="F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</row>
    <row r="641" ht="15.75" customHeight="1">
      <c r="A641" s="60"/>
      <c r="B641" s="60"/>
      <c r="F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</row>
    <row r="642" ht="15.75" customHeight="1">
      <c r="A642" s="60"/>
      <c r="B642" s="60"/>
      <c r="F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</row>
    <row r="643" ht="15.75" customHeight="1">
      <c r="A643" s="60"/>
      <c r="B643" s="60"/>
      <c r="F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</row>
    <row r="644" ht="15.75" customHeight="1">
      <c r="A644" s="60"/>
      <c r="B644" s="60"/>
      <c r="F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</row>
    <row r="645" ht="15.75" customHeight="1">
      <c r="A645" s="60"/>
      <c r="B645" s="60"/>
      <c r="F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</row>
    <row r="646" ht="15.75" customHeight="1">
      <c r="A646" s="60"/>
      <c r="B646" s="60"/>
      <c r="F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</row>
    <row r="647" ht="15.75" customHeight="1">
      <c r="A647" s="60"/>
      <c r="B647" s="60"/>
      <c r="F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</row>
    <row r="648" ht="15.75" customHeight="1">
      <c r="A648" s="60"/>
      <c r="B648" s="60"/>
      <c r="F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</row>
    <row r="649" ht="15.75" customHeight="1">
      <c r="A649" s="60"/>
      <c r="B649" s="60"/>
      <c r="F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</row>
    <row r="650" ht="15.75" customHeight="1">
      <c r="A650" s="60"/>
      <c r="B650" s="60"/>
      <c r="F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</row>
    <row r="651" ht="15.75" customHeight="1">
      <c r="A651" s="60"/>
      <c r="B651" s="60"/>
      <c r="F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</row>
    <row r="652" ht="15.75" customHeight="1">
      <c r="A652" s="60"/>
      <c r="B652" s="60"/>
      <c r="F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</row>
    <row r="653" ht="15.75" customHeight="1">
      <c r="A653" s="60"/>
      <c r="B653" s="60"/>
      <c r="F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</row>
    <row r="654" ht="15.75" customHeight="1">
      <c r="A654" s="60"/>
      <c r="B654" s="60"/>
      <c r="F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</row>
    <row r="655" ht="15.75" customHeight="1">
      <c r="A655" s="60"/>
      <c r="B655" s="60"/>
      <c r="F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</row>
    <row r="656" ht="15.75" customHeight="1">
      <c r="A656" s="60"/>
      <c r="B656" s="60"/>
      <c r="F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</row>
    <row r="657" ht="15.75" customHeight="1">
      <c r="A657" s="60"/>
      <c r="B657" s="60"/>
      <c r="F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</row>
    <row r="658" ht="15.75" customHeight="1">
      <c r="A658" s="60"/>
      <c r="B658" s="60"/>
      <c r="F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</row>
    <row r="659" ht="15.75" customHeight="1">
      <c r="A659" s="60"/>
      <c r="B659" s="60"/>
      <c r="F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</row>
    <row r="660" ht="15.75" customHeight="1">
      <c r="A660" s="60"/>
      <c r="B660" s="60"/>
      <c r="F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</row>
    <row r="661" ht="15.75" customHeight="1">
      <c r="A661" s="60"/>
      <c r="B661" s="60"/>
      <c r="F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</row>
    <row r="662" ht="15.75" customHeight="1">
      <c r="A662" s="60"/>
      <c r="B662" s="60"/>
      <c r="F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</row>
    <row r="663" ht="15.75" customHeight="1">
      <c r="A663" s="60"/>
      <c r="B663" s="60"/>
      <c r="F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</row>
    <row r="664" ht="15.75" customHeight="1">
      <c r="A664" s="60"/>
      <c r="B664" s="60"/>
      <c r="F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</row>
    <row r="665" ht="15.75" customHeight="1">
      <c r="A665" s="60"/>
      <c r="B665" s="60"/>
      <c r="F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</row>
    <row r="666" ht="15.75" customHeight="1">
      <c r="A666" s="60"/>
      <c r="B666" s="60"/>
      <c r="F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</row>
    <row r="667" ht="15.75" customHeight="1">
      <c r="A667" s="60"/>
      <c r="B667" s="60"/>
      <c r="F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</row>
    <row r="668" ht="15.75" customHeight="1">
      <c r="A668" s="60"/>
      <c r="B668" s="60"/>
      <c r="F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</row>
    <row r="669" ht="15.75" customHeight="1">
      <c r="A669" s="60"/>
      <c r="B669" s="60"/>
      <c r="F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</row>
    <row r="670" ht="15.75" customHeight="1">
      <c r="A670" s="60"/>
      <c r="B670" s="60"/>
      <c r="F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</row>
    <row r="671" ht="15.75" customHeight="1">
      <c r="A671" s="60"/>
      <c r="B671" s="60"/>
      <c r="F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</row>
    <row r="672" ht="15.75" customHeight="1">
      <c r="A672" s="60"/>
      <c r="B672" s="60"/>
      <c r="F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</row>
    <row r="673" ht="15.75" customHeight="1">
      <c r="A673" s="60"/>
      <c r="B673" s="60"/>
      <c r="F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</row>
    <row r="674" ht="15.75" customHeight="1">
      <c r="A674" s="60"/>
      <c r="B674" s="60"/>
      <c r="F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</row>
    <row r="675" ht="15.75" customHeight="1">
      <c r="A675" s="60"/>
      <c r="B675" s="60"/>
      <c r="F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</row>
    <row r="676" ht="15.75" customHeight="1">
      <c r="A676" s="60"/>
      <c r="B676" s="60"/>
      <c r="F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</row>
    <row r="677" ht="15.75" customHeight="1">
      <c r="A677" s="60"/>
      <c r="B677" s="60"/>
      <c r="F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</row>
    <row r="678" ht="15.75" customHeight="1">
      <c r="A678" s="60"/>
      <c r="B678" s="60"/>
      <c r="F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</row>
    <row r="679" ht="15.75" customHeight="1">
      <c r="A679" s="60"/>
      <c r="B679" s="60"/>
      <c r="F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</row>
    <row r="680" ht="15.75" customHeight="1">
      <c r="A680" s="60"/>
      <c r="B680" s="60"/>
      <c r="F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</row>
    <row r="681" ht="15.75" customHeight="1">
      <c r="A681" s="60"/>
      <c r="B681" s="60"/>
      <c r="F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</row>
    <row r="682" ht="15.75" customHeight="1">
      <c r="A682" s="60"/>
      <c r="B682" s="60"/>
      <c r="F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</row>
    <row r="683" ht="15.75" customHeight="1">
      <c r="A683" s="60"/>
      <c r="B683" s="60"/>
      <c r="F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</row>
    <row r="684" ht="15.75" customHeight="1">
      <c r="A684" s="60"/>
      <c r="B684" s="60"/>
      <c r="F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</row>
    <row r="685" ht="15.75" customHeight="1">
      <c r="A685" s="60"/>
      <c r="B685" s="60"/>
      <c r="F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</row>
    <row r="686" ht="15.75" customHeight="1">
      <c r="A686" s="60"/>
      <c r="B686" s="60"/>
      <c r="F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</row>
    <row r="687" ht="15.75" customHeight="1">
      <c r="A687" s="60"/>
      <c r="B687" s="60"/>
      <c r="F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</row>
    <row r="688" ht="15.75" customHeight="1">
      <c r="A688" s="60"/>
      <c r="B688" s="60"/>
      <c r="F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</row>
    <row r="689" ht="15.75" customHeight="1">
      <c r="A689" s="60"/>
      <c r="B689" s="60"/>
      <c r="F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</row>
    <row r="690" ht="15.75" customHeight="1">
      <c r="A690" s="60"/>
      <c r="B690" s="60"/>
      <c r="F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</row>
    <row r="691" ht="15.75" customHeight="1">
      <c r="A691" s="60"/>
      <c r="B691" s="60"/>
      <c r="F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</row>
    <row r="692" ht="15.75" customHeight="1">
      <c r="A692" s="60"/>
      <c r="B692" s="60"/>
      <c r="F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</row>
    <row r="693" ht="15.75" customHeight="1">
      <c r="A693" s="60"/>
      <c r="B693" s="60"/>
      <c r="F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</row>
    <row r="694" ht="15.75" customHeight="1">
      <c r="A694" s="60"/>
      <c r="B694" s="60"/>
      <c r="F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</row>
    <row r="695" ht="15.75" customHeight="1">
      <c r="A695" s="60"/>
      <c r="B695" s="60"/>
      <c r="F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</row>
    <row r="696" ht="15.75" customHeight="1">
      <c r="A696" s="60"/>
      <c r="B696" s="60"/>
      <c r="F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</row>
    <row r="697" ht="15.75" customHeight="1">
      <c r="A697" s="60"/>
      <c r="B697" s="60"/>
      <c r="F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</row>
    <row r="698" ht="15.75" customHeight="1">
      <c r="A698" s="60"/>
      <c r="B698" s="60"/>
      <c r="F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</row>
    <row r="699" ht="15.75" customHeight="1">
      <c r="A699" s="60"/>
      <c r="B699" s="60"/>
      <c r="F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</row>
    <row r="700" ht="15.75" customHeight="1">
      <c r="A700" s="60"/>
      <c r="B700" s="60"/>
      <c r="F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</row>
    <row r="701" ht="15.75" customHeight="1">
      <c r="A701" s="60"/>
      <c r="B701" s="60"/>
      <c r="F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</row>
    <row r="702" ht="15.75" customHeight="1">
      <c r="A702" s="60"/>
      <c r="B702" s="60"/>
      <c r="F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</row>
    <row r="703" ht="15.75" customHeight="1">
      <c r="A703" s="60"/>
      <c r="B703" s="60"/>
      <c r="F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</row>
    <row r="704" ht="15.75" customHeight="1">
      <c r="A704" s="60"/>
      <c r="B704" s="60"/>
      <c r="F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</row>
    <row r="705" ht="15.75" customHeight="1">
      <c r="A705" s="60"/>
      <c r="B705" s="60"/>
      <c r="F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</row>
    <row r="706" ht="15.75" customHeight="1">
      <c r="A706" s="60"/>
      <c r="B706" s="60"/>
      <c r="F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</row>
    <row r="707" ht="15.75" customHeight="1">
      <c r="A707" s="60"/>
      <c r="B707" s="60"/>
      <c r="F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</row>
    <row r="708" ht="15.75" customHeight="1">
      <c r="A708" s="60"/>
      <c r="B708" s="60"/>
      <c r="F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</row>
    <row r="709" ht="15.75" customHeight="1">
      <c r="A709" s="60"/>
      <c r="B709" s="60"/>
      <c r="F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</row>
    <row r="710" ht="15.75" customHeight="1">
      <c r="A710" s="60"/>
      <c r="B710" s="60"/>
      <c r="F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</row>
    <row r="711" ht="15.75" customHeight="1">
      <c r="A711" s="60"/>
      <c r="B711" s="60"/>
      <c r="F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</row>
    <row r="712" ht="15.75" customHeight="1">
      <c r="A712" s="60"/>
      <c r="B712" s="60"/>
      <c r="F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</row>
    <row r="713" ht="15.75" customHeight="1">
      <c r="A713" s="60"/>
      <c r="B713" s="60"/>
      <c r="F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</row>
    <row r="714" ht="15.75" customHeight="1">
      <c r="A714" s="60"/>
      <c r="B714" s="60"/>
      <c r="F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</row>
    <row r="715" ht="15.75" customHeight="1">
      <c r="A715" s="60"/>
      <c r="B715" s="60"/>
      <c r="F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</row>
    <row r="716" ht="15.75" customHeight="1">
      <c r="A716" s="60"/>
      <c r="B716" s="60"/>
      <c r="F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</row>
    <row r="717" ht="15.75" customHeight="1">
      <c r="A717" s="60"/>
      <c r="B717" s="60"/>
      <c r="F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</row>
    <row r="718" ht="15.75" customHeight="1">
      <c r="A718" s="60"/>
      <c r="B718" s="60"/>
      <c r="F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</row>
    <row r="719" ht="15.75" customHeight="1">
      <c r="A719" s="60"/>
      <c r="B719" s="60"/>
      <c r="F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</row>
    <row r="720" ht="15.75" customHeight="1">
      <c r="A720" s="60"/>
      <c r="B720" s="60"/>
      <c r="F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</row>
    <row r="721" ht="15.75" customHeight="1">
      <c r="A721" s="60"/>
      <c r="B721" s="60"/>
      <c r="F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</row>
    <row r="722" ht="15.75" customHeight="1">
      <c r="A722" s="60"/>
      <c r="B722" s="60"/>
      <c r="F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</row>
    <row r="723" ht="15.75" customHeight="1">
      <c r="A723" s="60"/>
      <c r="B723" s="60"/>
      <c r="F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</row>
    <row r="724" ht="15.75" customHeight="1">
      <c r="A724" s="60"/>
      <c r="B724" s="60"/>
      <c r="F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</row>
    <row r="725" ht="15.75" customHeight="1">
      <c r="A725" s="60"/>
      <c r="B725" s="60"/>
      <c r="F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</row>
    <row r="726" ht="15.75" customHeight="1">
      <c r="A726" s="60"/>
      <c r="B726" s="60"/>
      <c r="F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</row>
    <row r="727" ht="15.75" customHeight="1">
      <c r="A727" s="60"/>
      <c r="B727" s="60"/>
      <c r="F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</row>
    <row r="728" ht="15.75" customHeight="1">
      <c r="A728" s="60"/>
      <c r="B728" s="60"/>
      <c r="F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</row>
    <row r="729" ht="15.75" customHeight="1">
      <c r="A729" s="60"/>
      <c r="B729" s="60"/>
      <c r="F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</row>
    <row r="730" ht="15.75" customHeight="1">
      <c r="A730" s="60"/>
      <c r="B730" s="60"/>
      <c r="F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</row>
    <row r="731" ht="15.75" customHeight="1">
      <c r="A731" s="60"/>
      <c r="B731" s="60"/>
      <c r="F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</row>
    <row r="732" ht="15.75" customHeight="1">
      <c r="A732" s="60"/>
      <c r="B732" s="60"/>
      <c r="F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</row>
    <row r="733" ht="15.75" customHeight="1">
      <c r="A733" s="60"/>
      <c r="B733" s="60"/>
      <c r="F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</row>
    <row r="734" ht="15.75" customHeight="1">
      <c r="A734" s="60"/>
      <c r="B734" s="60"/>
      <c r="F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</row>
    <row r="735" ht="15.75" customHeight="1">
      <c r="A735" s="60"/>
      <c r="B735" s="60"/>
      <c r="F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</row>
    <row r="736" ht="15.75" customHeight="1">
      <c r="A736" s="60"/>
      <c r="B736" s="60"/>
      <c r="F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</row>
    <row r="737" ht="15.75" customHeight="1">
      <c r="A737" s="60"/>
      <c r="B737" s="60"/>
      <c r="F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</row>
    <row r="738" ht="15.75" customHeight="1">
      <c r="A738" s="60"/>
      <c r="B738" s="60"/>
      <c r="F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</row>
    <row r="739" ht="15.75" customHeight="1">
      <c r="A739" s="60"/>
      <c r="B739" s="60"/>
      <c r="F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</row>
    <row r="740" ht="15.75" customHeight="1">
      <c r="A740" s="60"/>
      <c r="B740" s="60"/>
      <c r="F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</row>
    <row r="741" ht="15.75" customHeight="1">
      <c r="A741" s="60"/>
      <c r="B741" s="60"/>
      <c r="F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</row>
    <row r="742" ht="15.75" customHeight="1">
      <c r="A742" s="60"/>
      <c r="B742" s="60"/>
      <c r="F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</row>
    <row r="743" ht="15.75" customHeight="1">
      <c r="A743" s="60"/>
      <c r="B743" s="60"/>
      <c r="F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</row>
    <row r="744" ht="15.75" customHeight="1">
      <c r="A744" s="60"/>
      <c r="B744" s="60"/>
      <c r="F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</row>
    <row r="745" ht="15.75" customHeight="1">
      <c r="A745" s="60"/>
      <c r="B745" s="60"/>
      <c r="F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</row>
    <row r="746" ht="15.75" customHeight="1">
      <c r="A746" s="60"/>
      <c r="B746" s="60"/>
      <c r="F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</row>
    <row r="747" ht="15.75" customHeight="1">
      <c r="A747" s="60"/>
      <c r="B747" s="60"/>
      <c r="F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</row>
    <row r="748" ht="15.75" customHeight="1">
      <c r="A748" s="60"/>
      <c r="B748" s="60"/>
      <c r="F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</row>
    <row r="749" ht="15.75" customHeight="1">
      <c r="A749" s="60"/>
      <c r="B749" s="60"/>
      <c r="F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</row>
    <row r="750" ht="15.75" customHeight="1">
      <c r="A750" s="60"/>
      <c r="B750" s="60"/>
      <c r="F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</row>
    <row r="751" ht="15.75" customHeight="1">
      <c r="A751" s="60"/>
      <c r="B751" s="60"/>
      <c r="F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</row>
    <row r="752" ht="15.75" customHeight="1">
      <c r="A752" s="60"/>
      <c r="B752" s="60"/>
      <c r="F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</row>
    <row r="753" ht="15.75" customHeight="1">
      <c r="A753" s="60"/>
      <c r="B753" s="60"/>
      <c r="F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</row>
    <row r="754" ht="15.75" customHeight="1">
      <c r="A754" s="60"/>
      <c r="B754" s="60"/>
      <c r="F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</row>
    <row r="755" ht="15.75" customHeight="1">
      <c r="A755" s="60"/>
      <c r="B755" s="60"/>
      <c r="F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</row>
    <row r="756" ht="15.75" customHeight="1">
      <c r="A756" s="60"/>
      <c r="B756" s="60"/>
      <c r="F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</row>
    <row r="757" ht="15.75" customHeight="1">
      <c r="A757" s="60"/>
      <c r="B757" s="60"/>
      <c r="F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</row>
    <row r="758" ht="15.75" customHeight="1">
      <c r="A758" s="60"/>
      <c r="B758" s="60"/>
      <c r="F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</row>
    <row r="759" ht="15.75" customHeight="1">
      <c r="A759" s="60"/>
      <c r="B759" s="60"/>
      <c r="F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</row>
    <row r="760" ht="15.75" customHeight="1">
      <c r="A760" s="60"/>
      <c r="B760" s="60"/>
      <c r="F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</row>
    <row r="761" ht="15.75" customHeight="1">
      <c r="A761" s="60"/>
      <c r="B761" s="60"/>
      <c r="F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</row>
    <row r="762" ht="15.75" customHeight="1">
      <c r="A762" s="60"/>
      <c r="B762" s="60"/>
      <c r="F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</row>
    <row r="763" ht="15.75" customHeight="1">
      <c r="A763" s="60"/>
      <c r="B763" s="60"/>
      <c r="F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</row>
    <row r="764" ht="15.75" customHeight="1">
      <c r="A764" s="60"/>
      <c r="B764" s="60"/>
      <c r="F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</row>
    <row r="765" ht="15.75" customHeight="1">
      <c r="A765" s="60"/>
      <c r="B765" s="60"/>
      <c r="F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</row>
    <row r="766" ht="15.75" customHeight="1">
      <c r="A766" s="60"/>
      <c r="B766" s="60"/>
      <c r="F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</row>
    <row r="767" ht="15.75" customHeight="1">
      <c r="A767" s="60"/>
      <c r="B767" s="60"/>
      <c r="F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</row>
    <row r="768" ht="15.75" customHeight="1">
      <c r="A768" s="60"/>
      <c r="B768" s="60"/>
      <c r="F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</row>
    <row r="769" ht="15.75" customHeight="1">
      <c r="A769" s="60"/>
      <c r="B769" s="60"/>
      <c r="F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</row>
    <row r="770" ht="15.75" customHeight="1">
      <c r="A770" s="60"/>
      <c r="B770" s="60"/>
      <c r="F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</row>
    <row r="771" ht="15.75" customHeight="1">
      <c r="A771" s="60"/>
      <c r="B771" s="60"/>
      <c r="F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</row>
    <row r="772" ht="15.75" customHeight="1">
      <c r="A772" s="60"/>
      <c r="B772" s="60"/>
      <c r="F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</row>
    <row r="773" ht="15.75" customHeight="1">
      <c r="A773" s="60"/>
      <c r="B773" s="60"/>
      <c r="F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</row>
    <row r="774" ht="15.75" customHeight="1">
      <c r="A774" s="60"/>
      <c r="B774" s="60"/>
      <c r="F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</row>
    <row r="775" ht="15.75" customHeight="1">
      <c r="A775" s="60"/>
      <c r="B775" s="60"/>
      <c r="F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</row>
    <row r="776" ht="15.75" customHeight="1">
      <c r="A776" s="60"/>
      <c r="B776" s="60"/>
      <c r="F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</row>
    <row r="777" ht="15.75" customHeight="1">
      <c r="A777" s="60"/>
      <c r="B777" s="60"/>
      <c r="F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</row>
    <row r="778" ht="15.75" customHeight="1">
      <c r="A778" s="60"/>
      <c r="B778" s="60"/>
      <c r="F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</row>
    <row r="779" ht="15.75" customHeight="1">
      <c r="A779" s="60"/>
      <c r="B779" s="60"/>
      <c r="F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</row>
    <row r="780" ht="15.75" customHeight="1">
      <c r="A780" s="60"/>
      <c r="B780" s="60"/>
      <c r="F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</row>
    <row r="781" ht="15.75" customHeight="1">
      <c r="A781" s="60"/>
      <c r="B781" s="60"/>
      <c r="F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</row>
    <row r="782" ht="15.75" customHeight="1">
      <c r="A782" s="60"/>
      <c r="B782" s="60"/>
      <c r="F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</row>
    <row r="783" ht="15.75" customHeight="1">
      <c r="A783" s="60"/>
      <c r="B783" s="60"/>
      <c r="F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</row>
    <row r="784" ht="15.75" customHeight="1">
      <c r="A784" s="60"/>
      <c r="B784" s="60"/>
      <c r="F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</row>
    <row r="785" ht="15.75" customHeight="1">
      <c r="A785" s="60"/>
      <c r="B785" s="60"/>
      <c r="F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</row>
    <row r="786" ht="15.75" customHeight="1">
      <c r="A786" s="60"/>
      <c r="B786" s="60"/>
      <c r="F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</row>
    <row r="787" ht="15.75" customHeight="1">
      <c r="A787" s="60"/>
      <c r="B787" s="60"/>
      <c r="F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</row>
    <row r="788" ht="15.75" customHeight="1">
      <c r="A788" s="60"/>
      <c r="B788" s="60"/>
      <c r="F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</row>
    <row r="789" ht="15.75" customHeight="1">
      <c r="A789" s="60"/>
      <c r="B789" s="60"/>
      <c r="F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</row>
    <row r="790" ht="15.75" customHeight="1">
      <c r="A790" s="60"/>
      <c r="B790" s="60"/>
      <c r="F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</row>
    <row r="791" ht="15.75" customHeight="1">
      <c r="A791" s="60"/>
      <c r="B791" s="60"/>
      <c r="F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</row>
    <row r="792" ht="15.75" customHeight="1">
      <c r="A792" s="60"/>
      <c r="B792" s="60"/>
      <c r="F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</row>
    <row r="793" ht="15.75" customHeight="1">
      <c r="A793" s="60"/>
      <c r="B793" s="60"/>
      <c r="F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</row>
    <row r="794" ht="15.75" customHeight="1">
      <c r="A794" s="60"/>
      <c r="B794" s="60"/>
      <c r="F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</row>
    <row r="795" ht="15.75" customHeight="1">
      <c r="A795" s="60"/>
      <c r="B795" s="60"/>
      <c r="F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</row>
    <row r="796" ht="15.75" customHeight="1">
      <c r="A796" s="60"/>
      <c r="B796" s="60"/>
      <c r="F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</row>
    <row r="797" ht="15.75" customHeight="1">
      <c r="A797" s="60"/>
      <c r="B797" s="60"/>
      <c r="F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</row>
    <row r="798" ht="15.75" customHeight="1">
      <c r="A798" s="60"/>
      <c r="B798" s="60"/>
      <c r="F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</row>
    <row r="799" ht="15.75" customHeight="1">
      <c r="A799" s="60"/>
      <c r="B799" s="60"/>
      <c r="F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</row>
    <row r="800" ht="15.75" customHeight="1">
      <c r="A800" s="60"/>
      <c r="B800" s="60"/>
      <c r="F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</row>
    <row r="801" ht="15.75" customHeight="1">
      <c r="A801" s="60"/>
      <c r="B801" s="60"/>
      <c r="F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</row>
    <row r="802" ht="15.75" customHeight="1">
      <c r="A802" s="60"/>
      <c r="B802" s="60"/>
      <c r="F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</row>
    <row r="803" ht="15.75" customHeight="1">
      <c r="A803" s="60"/>
      <c r="B803" s="60"/>
      <c r="F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</row>
    <row r="804" ht="15.75" customHeight="1">
      <c r="A804" s="60"/>
      <c r="B804" s="60"/>
      <c r="F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</row>
    <row r="805" ht="15.75" customHeight="1">
      <c r="A805" s="60"/>
      <c r="B805" s="60"/>
      <c r="F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</row>
    <row r="806" ht="15.75" customHeight="1">
      <c r="A806" s="60"/>
      <c r="B806" s="60"/>
      <c r="F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</row>
    <row r="807" ht="15.75" customHeight="1">
      <c r="A807" s="60"/>
      <c r="B807" s="60"/>
      <c r="F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</row>
    <row r="808" ht="15.75" customHeight="1">
      <c r="A808" s="60"/>
      <c r="B808" s="60"/>
      <c r="F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</row>
    <row r="809" ht="15.75" customHeight="1">
      <c r="A809" s="60"/>
      <c r="B809" s="60"/>
      <c r="F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</row>
    <row r="810" ht="15.75" customHeight="1">
      <c r="A810" s="60"/>
      <c r="B810" s="60"/>
      <c r="F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</row>
    <row r="811" ht="15.75" customHeight="1">
      <c r="A811" s="60"/>
      <c r="B811" s="60"/>
      <c r="F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</row>
    <row r="812" ht="15.75" customHeight="1">
      <c r="A812" s="60"/>
      <c r="B812" s="60"/>
      <c r="F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</row>
    <row r="813" ht="15.75" customHeight="1">
      <c r="A813" s="60"/>
      <c r="B813" s="60"/>
      <c r="F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</row>
    <row r="814" ht="15.75" customHeight="1">
      <c r="A814" s="60"/>
      <c r="B814" s="60"/>
      <c r="F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</row>
    <row r="815" ht="15.75" customHeight="1">
      <c r="A815" s="60"/>
      <c r="B815" s="60"/>
      <c r="F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</row>
    <row r="816" ht="15.75" customHeight="1">
      <c r="A816" s="60"/>
      <c r="B816" s="60"/>
      <c r="F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</row>
    <row r="817" ht="15.75" customHeight="1">
      <c r="A817" s="60"/>
      <c r="B817" s="60"/>
      <c r="F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</row>
    <row r="818" ht="15.75" customHeight="1">
      <c r="A818" s="60"/>
      <c r="B818" s="60"/>
      <c r="F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</row>
    <row r="819" ht="15.75" customHeight="1">
      <c r="A819" s="60"/>
      <c r="B819" s="60"/>
      <c r="F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</row>
    <row r="820" ht="15.75" customHeight="1">
      <c r="A820" s="60"/>
      <c r="B820" s="60"/>
      <c r="F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</row>
    <row r="821" ht="15.75" customHeight="1">
      <c r="A821" s="60"/>
      <c r="B821" s="60"/>
      <c r="F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</row>
    <row r="822" ht="15.75" customHeight="1">
      <c r="A822" s="60"/>
      <c r="B822" s="60"/>
      <c r="F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</row>
    <row r="823" ht="15.75" customHeight="1">
      <c r="A823" s="60"/>
      <c r="B823" s="60"/>
      <c r="F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</row>
    <row r="824" ht="15.75" customHeight="1">
      <c r="A824" s="60"/>
      <c r="B824" s="60"/>
      <c r="F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</row>
    <row r="825" ht="15.75" customHeight="1">
      <c r="A825" s="60"/>
      <c r="B825" s="60"/>
      <c r="F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</row>
    <row r="826" ht="15.75" customHeight="1">
      <c r="A826" s="60"/>
      <c r="B826" s="60"/>
      <c r="F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</row>
    <row r="827" ht="15.75" customHeight="1">
      <c r="A827" s="60"/>
      <c r="B827" s="60"/>
      <c r="F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</row>
    <row r="828" ht="15.75" customHeight="1">
      <c r="A828" s="60"/>
      <c r="B828" s="60"/>
      <c r="F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</row>
    <row r="829" ht="15.75" customHeight="1">
      <c r="A829" s="60"/>
      <c r="B829" s="60"/>
      <c r="F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</row>
    <row r="830" ht="15.75" customHeight="1">
      <c r="A830" s="60"/>
      <c r="B830" s="60"/>
      <c r="F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</row>
    <row r="831" ht="15.75" customHeight="1">
      <c r="A831" s="60"/>
      <c r="B831" s="60"/>
      <c r="F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</row>
    <row r="832" ht="15.75" customHeight="1">
      <c r="A832" s="60"/>
      <c r="B832" s="60"/>
      <c r="F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</row>
    <row r="833" ht="15.75" customHeight="1">
      <c r="A833" s="60"/>
      <c r="B833" s="60"/>
      <c r="F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</row>
    <row r="834" ht="15.75" customHeight="1">
      <c r="A834" s="60"/>
      <c r="B834" s="60"/>
      <c r="F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</row>
    <row r="835" ht="15.75" customHeight="1">
      <c r="A835" s="60"/>
      <c r="B835" s="60"/>
      <c r="F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</row>
    <row r="836" ht="15.75" customHeight="1">
      <c r="A836" s="60"/>
      <c r="B836" s="60"/>
      <c r="F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</row>
    <row r="837" ht="15.75" customHeight="1">
      <c r="A837" s="60"/>
      <c r="B837" s="60"/>
      <c r="F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</row>
    <row r="838" ht="15.75" customHeight="1">
      <c r="A838" s="60"/>
      <c r="B838" s="60"/>
      <c r="F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</row>
    <row r="839" ht="15.75" customHeight="1">
      <c r="A839" s="60"/>
      <c r="B839" s="60"/>
      <c r="F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</row>
    <row r="840" ht="15.75" customHeight="1">
      <c r="A840" s="60"/>
      <c r="B840" s="60"/>
      <c r="F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</row>
    <row r="841" ht="15.75" customHeight="1">
      <c r="A841" s="60"/>
      <c r="B841" s="60"/>
      <c r="F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</row>
    <row r="842" ht="15.75" customHeight="1">
      <c r="A842" s="60"/>
      <c r="B842" s="60"/>
      <c r="F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</row>
    <row r="843" ht="15.75" customHeight="1">
      <c r="A843" s="60"/>
      <c r="B843" s="60"/>
      <c r="F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</row>
    <row r="844" ht="15.75" customHeight="1">
      <c r="A844" s="60"/>
      <c r="B844" s="60"/>
      <c r="F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</row>
    <row r="845" ht="15.75" customHeight="1">
      <c r="A845" s="60"/>
      <c r="B845" s="60"/>
      <c r="F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</row>
    <row r="846" ht="15.75" customHeight="1">
      <c r="A846" s="60"/>
      <c r="B846" s="60"/>
      <c r="F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</row>
    <row r="847" ht="15.75" customHeight="1">
      <c r="A847" s="60"/>
      <c r="B847" s="60"/>
      <c r="F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</row>
    <row r="848" ht="15.75" customHeight="1">
      <c r="A848" s="60"/>
      <c r="B848" s="60"/>
      <c r="F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</row>
    <row r="849" ht="15.75" customHeight="1">
      <c r="A849" s="60"/>
      <c r="B849" s="60"/>
      <c r="F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</row>
    <row r="850" ht="15.75" customHeight="1">
      <c r="A850" s="60"/>
      <c r="B850" s="60"/>
      <c r="F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</row>
    <row r="851" ht="15.75" customHeight="1">
      <c r="A851" s="60"/>
      <c r="B851" s="60"/>
      <c r="F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</row>
    <row r="852" ht="15.75" customHeight="1">
      <c r="A852" s="60"/>
      <c r="B852" s="60"/>
      <c r="F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</row>
    <row r="853" ht="15.75" customHeight="1">
      <c r="A853" s="60"/>
      <c r="B853" s="60"/>
      <c r="F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</row>
    <row r="854" ht="15.75" customHeight="1">
      <c r="A854" s="60"/>
      <c r="B854" s="60"/>
      <c r="F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</row>
    <row r="855" ht="15.75" customHeight="1">
      <c r="A855" s="60"/>
      <c r="B855" s="60"/>
      <c r="F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</row>
    <row r="856" ht="15.75" customHeight="1">
      <c r="A856" s="60"/>
      <c r="B856" s="60"/>
      <c r="F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</row>
    <row r="857" ht="15.75" customHeight="1">
      <c r="A857" s="60"/>
      <c r="B857" s="60"/>
      <c r="F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</row>
    <row r="858" ht="15.75" customHeight="1">
      <c r="A858" s="60"/>
      <c r="B858" s="60"/>
      <c r="F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</row>
    <row r="859" ht="15.75" customHeight="1">
      <c r="A859" s="60"/>
      <c r="B859" s="60"/>
      <c r="F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</row>
    <row r="860" ht="15.75" customHeight="1">
      <c r="A860" s="60"/>
      <c r="B860" s="60"/>
      <c r="F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</row>
    <row r="861" ht="15.75" customHeight="1">
      <c r="A861" s="60"/>
      <c r="B861" s="60"/>
      <c r="F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</row>
    <row r="862" ht="15.75" customHeight="1">
      <c r="A862" s="60"/>
      <c r="B862" s="60"/>
      <c r="F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</row>
    <row r="863" ht="15.75" customHeight="1">
      <c r="A863" s="60"/>
      <c r="B863" s="60"/>
      <c r="F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</row>
    <row r="864" ht="15.75" customHeight="1">
      <c r="A864" s="60"/>
      <c r="B864" s="60"/>
      <c r="F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</row>
    <row r="865" ht="15.75" customHeight="1">
      <c r="A865" s="60"/>
      <c r="B865" s="60"/>
      <c r="F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</row>
    <row r="866" ht="15.75" customHeight="1">
      <c r="A866" s="60"/>
      <c r="B866" s="60"/>
      <c r="F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</row>
    <row r="867" ht="15.75" customHeight="1">
      <c r="A867" s="60"/>
      <c r="B867" s="60"/>
      <c r="F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</row>
    <row r="868" ht="15.75" customHeight="1">
      <c r="A868" s="60"/>
      <c r="B868" s="60"/>
      <c r="F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</row>
    <row r="869" ht="15.75" customHeight="1">
      <c r="A869" s="60"/>
      <c r="B869" s="60"/>
      <c r="F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</row>
    <row r="870" ht="15.75" customHeight="1">
      <c r="A870" s="60"/>
      <c r="B870" s="60"/>
      <c r="F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</row>
    <row r="871" ht="15.75" customHeight="1">
      <c r="A871" s="60"/>
      <c r="B871" s="60"/>
      <c r="F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</row>
    <row r="872" ht="15.75" customHeight="1">
      <c r="A872" s="60"/>
      <c r="B872" s="60"/>
      <c r="F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</row>
    <row r="873" ht="15.75" customHeight="1">
      <c r="A873" s="60"/>
      <c r="B873" s="60"/>
      <c r="F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</row>
    <row r="874" ht="15.75" customHeight="1">
      <c r="A874" s="60"/>
      <c r="B874" s="60"/>
      <c r="F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</row>
    <row r="875" ht="15.75" customHeight="1">
      <c r="A875" s="60"/>
      <c r="B875" s="60"/>
      <c r="F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</row>
    <row r="876" ht="15.75" customHeight="1">
      <c r="A876" s="60"/>
      <c r="B876" s="60"/>
      <c r="F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</row>
    <row r="877" ht="15.75" customHeight="1">
      <c r="A877" s="60"/>
      <c r="B877" s="60"/>
      <c r="F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</row>
    <row r="878" ht="15.75" customHeight="1">
      <c r="A878" s="60"/>
      <c r="B878" s="60"/>
      <c r="F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</row>
    <row r="879" ht="15.75" customHeight="1">
      <c r="A879" s="60"/>
      <c r="B879" s="60"/>
      <c r="F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</row>
    <row r="880" ht="15.75" customHeight="1">
      <c r="A880" s="60"/>
      <c r="B880" s="60"/>
      <c r="F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</row>
    <row r="881" ht="15.75" customHeight="1">
      <c r="A881" s="60"/>
      <c r="B881" s="60"/>
      <c r="F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</row>
    <row r="882" ht="15.75" customHeight="1">
      <c r="A882" s="60"/>
      <c r="B882" s="60"/>
      <c r="F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</row>
    <row r="883" ht="15.75" customHeight="1">
      <c r="A883" s="60"/>
      <c r="B883" s="60"/>
      <c r="F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</row>
    <row r="884" ht="15.75" customHeight="1">
      <c r="A884" s="60"/>
      <c r="B884" s="60"/>
      <c r="F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</row>
    <row r="885" ht="15.75" customHeight="1">
      <c r="A885" s="60"/>
      <c r="B885" s="60"/>
      <c r="F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</row>
    <row r="886" ht="15.75" customHeight="1">
      <c r="A886" s="60"/>
      <c r="B886" s="60"/>
      <c r="F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</row>
    <row r="887" ht="15.75" customHeight="1">
      <c r="A887" s="60"/>
      <c r="B887" s="60"/>
      <c r="F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</row>
    <row r="888" ht="15.75" customHeight="1">
      <c r="A888" s="60"/>
      <c r="B888" s="60"/>
      <c r="F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</row>
    <row r="889" ht="15.75" customHeight="1">
      <c r="A889" s="60"/>
      <c r="B889" s="60"/>
      <c r="F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</row>
    <row r="890" ht="15.75" customHeight="1">
      <c r="A890" s="60"/>
      <c r="B890" s="60"/>
      <c r="F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</row>
    <row r="891" ht="15.75" customHeight="1">
      <c r="A891" s="60"/>
      <c r="B891" s="60"/>
      <c r="F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</row>
    <row r="892" ht="15.75" customHeight="1">
      <c r="A892" s="60"/>
      <c r="B892" s="60"/>
      <c r="F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</row>
    <row r="893" ht="15.75" customHeight="1">
      <c r="A893" s="60"/>
      <c r="B893" s="60"/>
      <c r="F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</row>
    <row r="894" ht="15.75" customHeight="1">
      <c r="A894" s="60"/>
      <c r="B894" s="60"/>
      <c r="F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</row>
    <row r="895" ht="15.75" customHeight="1">
      <c r="A895" s="60"/>
      <c r="B895" s="60"/>
      <c r="F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</row>
    <row r="896" ht="15.75" customHeight="1">
      <c r="A896" s="60"/>
      <c r="B896" s="60"/>
      <c r="F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</row>
    <row r="897" ht="15.75" customHeight="1">
      <c r="A897" s="60"/>
      <c r="B897" s="60"/>
      <c r="F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</row>
    <row r="898" ht="15.75" customHeight="1">
      <c r="A898" s="60"/>
      <c r="B898" s="60"/>
      <c r="F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</row>
    <row r="899" ht="15.75" customHeight="1">
      <c r="A899" s="60"/>
      <c r="B899" s="60"/>
      <c r="F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</row>
    <row r="900" ht="15.75" customHeight="1">
      <c r="A900" s="60"/>
      <c r="B900" s="60"/>
      <c r="F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</row>
    <row r="901" ht="15.75" customHeight="1">
      <c r="A901" s="60"/>
      <c r="B901" s="60"/>
      <c r="F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</row>
    <row r="902" ht="15.75" customHeight="1">
      <c r="A902" s="60"/>
      <c r="B902" s="60"/>
      <c r="F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</row>
    <row r="903" ht="15.75" customHeight="1">
      <c r="A903" s="60"/>
      <c r="B903" s="60"/>
      <c r="F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</row>
    <row r="904" ht="15.75" customHeight="1">
      <c r="A904" s="60"/>
      <c r="B904" s="60"/>
      <c r="F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</row>
    <row r="905" ht="15.75" customHeight="1">
      <c r="A905" s="60"/>
      <c r="B905" s="60"/>
      <c r="F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</row>
    <row r="906" ht="15.75" customHeight="1">
      <c r="A906" s="60"/>
      <c r="B906" s="60"/>
      <c r="F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</row>
    <row r="907" ht="15.75" customHeight="1">
      <c r="A907" s="60"/>
      <c r="B907" s="60"/>
      <c r="F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</row>
    <row r="908" ht="15.75" customHeight="1">
      <c r="A908" s="60"/>
      <c r="B908" s="60"/>
      <c r="F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</row>
    <row r="909" ht="15.75" customHeight="1">
      <c r="A909" s="60"/>
      <c r="B909" s="60"/>
      <c r="F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</row>
    <row r="910" ht="15.75" customHeight="1">
      <c r="A910" s="60"/>
      <c r="B910" s="60"/>
      <c r="F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</row>
    <row r="911" ht="15.75" customHeight="1">
      <c r="A911" s="60"/>
      <c r="B911" s="60"/>
      <c r="F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</row>
    <row r="912" ht="15.75" customHeight="1">
      <c r="A912" s="60"/>
      <c r="B912" s="60"/>
      <c r="F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</row>
    <row r="913" ht="15.75" customHeight="1">
      <c r="A913" s="60"/>
      <c r="B913" s="60"/>
      <c r="F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</row>
    <row r="914" ht="15.75" customHeight="1">
      <c r="A914" s="60"/>
      <c r="B914" s="60"/>
      <c r="F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</row>
    <row r="915" ht="15.75" customHeight="1">
      <c r="A915" s="60"/>
      <c r="B915" s="60"/>
      <c r="F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</row>
    <row r="916" ht="15.75" customHeight="1">
      <c r="A916" s="60"/>
      <c r="B916" s="60"/>
      <c r="F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</row>
    <row r="917" ht="15.75" customHeight="1">
      <c r="A917" s="60"/>
      <c r="B917" s="60"/>
      <c r="F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</row>
    <row r="918" ht="15.75" customHeight="1">
      <c r="A918" s="60"/>
      <c r="B918" s="60"/>
      <c r="F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</row>
    <row r="919" ht="15.75" customHeight="1">
      <c r="A919" s="60"/>
      <c r="B919" s="60"/>
      <c r="F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</row>
    <row r="920" ht="15.75" customHeight="1">
      <c r="A920" s="60"/>
      <c r="B920" s="60"/>
      <c r="F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</row>
    <row r="921" ht="15.75" customHeight="1">
      <c r="A921" s="60"/>
      <c r="B921" s="60"/>
      <c r="F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</row>
    <row r="922" ht="15.75" customHeight="1">
      <c r="A922" s="60"/>
      <c r="B922" s="60"/>
      <c r="F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</row>
    <row r="923" ht="15.75" customHeight="1">
      <c r="A923" s="60"/>
      <c r="B923" s="60"/>
      <c r="F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</row>
    <row r="924" ht="15.75" customHeight="1">
      <c r="A924" s="60"/>
      <c r="B924" s="60"/>
      <c r="F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</row>
    <row r="925" ht="15.75" customHeight="1">
      <c r="A925" s="60"/>
      <c r="B925" s="60"/>
      <c r="F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</row>
    <row r="926" ht="15.75" customHeight="1">
      <c r="A926" s="60"/>
      <c r="B926" s="60"/>
      <c r="F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</row>
    <row r="927" ht="15.75" customHeight="1">
      <c r="A927" s="60"/>
      <c r="B927" s="60"/>
      <c r="F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</row>
    <row r="928" ht="15.75" customHeight="1">
      <c r="A928" s="60"/>
      <c r="B928" s="60"/>
      <c r="F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</row>
    <row r="929" ht="15.75" customHeight="1">
      <c r="A929" s="60"/>
      <c r="B929" s="60"/>
      <c r="F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</row>
    <row r="930" ht="15.75" customHeight="1">
      <c r="A930" s="60"/>
      <c r="B930" s="60"/>
      <c r="F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</row>
    <row r="931" ht="15.75" customHeight="1">
      <c r="A931" s="60"/>
      <c r="B931" s="60"/>
      <c r="F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</row>
    <row r="932" ht="15.75" customHeight="1">
      <c r="A932" s="60"/>
      <c r="B932" s="60"/>
      <c r="F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</row>
    <row r="933" ht="15.75" customHeight="1">
      <c r="A933" s="60"/>
      <c r="B933" s="60"/>
      <c r="F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</row>
    <row r="934" ht="15.75" customHeight="1">
      <c r="A934" s="60"/>
      <c r="B934" s="60"/>
      <c r="F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</row>
    <row r="935" ht="15.75" customHeight="1">
      <c r="A935" s="60"/>
      <c r="B935" s="60"/>
      <c r="F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</row>
    <row r="936" ht="15.75" customHeight="1">
      <c r="A936" s="60"/>
      <c r="B936" s="60"/>
      <c r="F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</row>
    <row r="937" ht="15.75" customHeight="1">
      <c r="A937" s="60"/>
      <c r="B937" s="60"/>
      <c r="F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</row>
    <row r="938" ht="15.75" customHeight="1">
      <c r="A938" s="60"/>
      <c r="B938" s="60"/>
      <c r="F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</row>
    <row r="939" ht="15.75" customHeight="1">
      <c r="A939" s="60"/>
      <c r="B939" s="60"/>
      <c r="F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</row>
    <row r="940" ht="15.75" customHeight="1">
      <c r="A940" s="60"/>
      <c r="B940" s="60"/>
      <c r="F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</row>
    <row r="941" ht="15.75" customHeight="1">
      <c r="A941" s="60"/>
      <c r="B941" s="60"/>
      <c r="F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</row>
    <row r="942" ht="15.75" customHeight="1">
      <c r="A942" s="60"/>
      <c r="B942" s="60"/>
      <c r="F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</row>
    <row r="943" ht="15.75" customHeight="1">
      <c r="A943" s="60"/>
      <c r="B943" s="60"/>
      <c r="F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</row>
    <row r="944" ht="15.75" customHeight="1">
      <c r="A944" s="60"/>
      <c r="B944" s="60"/>
      <c r="F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</row>
    <row r="945" ht="15.75" customHeight="1">
      <c r="A945" s="60"/>
      <c r="B945" s="60"/>
      <c r="F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</row>
    <row r="946" ht="15.75" customHeight="1">
      <c r="A946" s="60"/>
      <c r="B946" s="60"/>
      <c r="F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</row>
    <row r="947" ht="15.75" customHeight="1">
      <c r="A947" s="60"/>
      <c r="B947" s="60"/>
      <c r="F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</row>
    <row r="948" ht="15.75" customHeight="1">
      <c r="A948" s="60"/>
      <c r="B948" s="60"/>
      <c r="F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</row>
    <row r="949" ht="15.75" customHeight="1">
      <c r="A949" s="60"/>
      <c r="B949" s="60"/>
      <c r="F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</row>
    <row r="950" ht="15.75" customHeight="1">
      <c r="A950" s="60"/>
      <c r="B950" s="60"/>
      <c r="F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</row>
    <row r="951" ht="15.75" customHeight="1">
      <c r="A951" s="60"/>
      <c r="B951" s="60"/>
      <c r="F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</row>
    <row r="952" ht="15.75" customHeight="1">
      <c r="A952" s="60"/>
      <c r="B952" s="60"/>
      <c r="F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</row>
    <row r="953" ht="15.75" customHeight="1">
      <c r="A953" s="60"/>
      <c r="B953" s="60"/>
      <c r="F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</row>
    <row r="954" ht="15.75" customHeight="1">
      <c r="A954" s="60"/>
      <c r="B954" s="60"/>
      <c r="F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</row>
    <row r="955" ht="15.75" customHeight="1">
      <c r="A955" s="60"/>
      <c r="B955" s="60"/>
      <c r="F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</row>
    <row r="956" ht="15.75" customHeight="1">
      <c r="A956" s="60"/>
      <c r="B956" s="60"/>
      <c r="F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</row>
    <row r="957" ht="15.75" customHeight="1">
      <c r="A957" s="60"/>
      <c r="B957" s="60"/>
      <c r="F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</row>
    <row r="958" ht="15.75" customHeight="1">
      <c r="A958" s="60"/>
      <c r="B958" s="60"/>
      <c r="F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</row>
    <row r="959" ht="15.75" customHeight="1">
      <c r="A959" s="60"/>
      <c r="B959" s="60"/>
      <c r="F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</row>
    <row r="960" ht="15.75" customHeight="1">
      <c r="A960" s="60"/>
      <c r="B960" s="60"/>
      <c r="F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</row>
    <row r="961" ht="15.75" customHeight="1">
      <c r="A961" s="60"/>
      <c r="B961" s="60"/>
      <c r="F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</row>
    <row r="962" ht="15.75" customHeight="1">
      <c r="A962" s="60"/>
      <c r="B962" s="60"/>
      <c r="F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</row>
    <row r="963" ht="15.75" customHeight="1">
      <c r="A963" s="60"/>
      <c r="B963" s="60"/>
      <c r="F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</row>
    <row r="964" ht="15.75" customHeight="1">
      <c r="A964" s="60"/>
      <c r="B964" s="60"/>
      <c r="F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</row>
    <row r="965" ht="15.75" customHeight="1">
      <c r="A965" s="60"/>
      <c r="B965" s="60"/>
      <c r="F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</row>
    <row r="966" ht="15.75" customHeight="1">
      <c r="A966" s="60"/>
      <c r="B966" s="60"/>
      <c r="F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</row>
    <row r="967" ht="15.75" customHeight="1">
      <c r="A967" s="60"/>
      <c r="B967" s="60"/>
      <c r="F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</row>
    <row r="968" ht="15.75" customHeight="1">
      <c r="A968" s="60"/>
      <c r="B968" s="60"/>
      <c r="F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</row>
    <row r="969" ht="15.75" customHeight="1">
      <c r="A969" s="60"/>
      <c r="B969" s="60"/>
      <c r="F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</row>
    <row r="970" ht="15.75" customHeight="1">
      <c r="A970" s="60"/>
      <c r="B970" s="60"/>
      <c r="F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</row>
    <row r="971" ht="15.75" customHeight="1">
      <c r="A971" s="60"/>
      <c r="B971" s="60"/>
      <c r="F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</row>
    <row r="972" ht="15.75" customHeight="1">
      <c r="A972" s="60"/>
      <c r="B972" s="60"/>
      <c r="F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</row>
    <row r="973" ht="15.75" customHeight="1">
      <c r="A973" s="60"/>
      <c r="B973" s="60"/>
      <c r="F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</row>
    <row r="974" ht="15.75" customHeight="1">
      <c r="A974" s="60"/>
      <c r="B974" s="60"/>
      <c r="F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</row>
    <row r="975" ht="15.75" customHeight="1">
      <c r="A975" s="60"/>
      <c r="B975" s="60"/>
      <c r="F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</row>
    <row r="976" ht="15.75" customHeight="1">
      <c r="A976" s="60"/>
      <c r="B976" s="60"/>
      <c r="F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</row>
    <row r="977" ht="15.75" customHeight="1">
      <c r="A977" s="60"/>
      <c r="B977" s="60"/>
      <c r="F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</row>
    <row r="978" ht="15.75" customHeight="1">
      <c r="A978" s="60"/>
      <c r="B978" s="60"/>
      <c r="F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</row>
    <row r="979" ht="15.75" customHeight="1">
      <c r="A979" s="60"/>
      <c r="B979" s="60"/>
      <c r="F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</row>
    <row r="980" ht="15.75" customHeight="1">
      <c r="A980" s="60"/>
      <c r="B980" s="60"/>
      <c r="F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</row>
    <row r="981" ht="15.75" customHeight="1">
      <c r="A981" s="60"/>
      <c r="B981" s="60"/>
      <c r="F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</row>
    <row r="982" ht="15.75" customHeight="1">
      <c r="A982" s="60"/>
      <c r="B982" s="60"/>
      <c r="F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</row>
    <row r="983" ht="15.75" customHeight="1">
      <c r="A983" s="60"/>
      <c r="B983" s="60"/>
      <c r="F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</row>
    <row r="984" ht="15.75" customHeight="1">
      <c r="A984" s="60"/>
      <c r="B984" s="60"/>
      <c r="F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</row>
    <row r="985" ht="15.75" customHeight="1">
      <c r="A985" s="60"/>
      <c r="B985" s="60"/>
      <c r="F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</row>
    <row r="986" ht="15.75" customHeight="1">
      <c r="A986" s="60"/>
      <c r="B986" s="60"/>
      <c r="F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</row>
    <row r="987" ht="15.75" customHeight="1">
      <c r="A987" s="60"/>
      <c r="B987" s="60"/>
      <c r="F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</row>
    <row r="988" ht="15.75" customHeight="1">
      <c r="A988" s="60"/>
      <c r="B988" s="60"/>
      <c r="F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</row>
    <row r="989" ht="15.75" customHeight="1">
      <c r="A989" s="60"/>
      <c r="B989" s="60"/>
      <c r="F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</row>
    <row r="990" ht="15.75" customHeight="1">
      <c r="A990" s="60"/>
      <c r="B990" s="60"/>
      <c r="F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</row>
    <row r="991" ht="15.75" customHeight="1">
      <c r="A991" s="60"/>
      <c r="B991" s="60"/>
      <c r="F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</row>
    <row r="992" ht="15.75" customHeight="1">
      <c r="A992" s="60"/>
      <c r="B992" s="60"/>
      <c r="F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</row>
    <row r="993" ht="15.75" customHeight="1">
      <c r="A993" s="60"/>
      <c r="B993" s="60"/>
      <c r="F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</row>
    <row r="994" ht="15.75" customHeight="1">
      <c r="A994" s="60"/>
      <c r="B994" s="60"/>
      <c r="F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</row>
    <row r="995" ht="15.75" customHeight="1">
      <c r="A995" s="60"/>
      <c r="B995" s="60"/>
      <c r="F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</row>
    <row r="996" ht="15.75" customHeight="1">
      <c r="A996" s="60"/>
      <c r="B996" s="60"/>
      <c r="F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</row>
    <row r="997" ht="15.75" customHeight="1">
      <c r="A997" s="60"/>
      <c r="B997" s="60"/>
      <c r="F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</row>
    <row r="998" ht="15.75" customHeight="1">
      <c r="A998" s="60"/>
      <c r="B998" s="60"/>
      <c r="F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</row>
    <row r="999" ht="15.75" customHeight="1">
      <c r="A999" s="60"/>
      <c r="B999" s="60"/>
      <c r="F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</row>
    <row r="1000" ht="15.75" customHeight="1">
      <c r="A1000" s="60"/>
      <c r="B1000" s="60"/>
      <c r="F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</row>
  </sheetData>
  <autoFilter ref="$A$1:$X$501"/>
  <conditionalFormatting sqref="W2:W501">
    <cfRule type="containsText" dxfId="0" priority="1" operator="containsText" text="OK">
      <formula>NOT(ISERROR(SEARCH(("OK"),(W2))))</formula>
    </cfRule>
  </conditionalFormatting>
  <conditionalFormatting sqref="W2:W501">
    <cfRule type="containsText" dxfId="2" priority="2" operator="containsText" text="INCOMPLETO">
      <formula>NOT(ISERROR(SEARCH(("INCOMPLETO"),(W2))))</formula>
    </cfRule>
  </conditionalFormatting>
  <conditionalFormatting sqref="W2:W501">
    <cfRule type="containsText" dxfId="1" priority="3" operator="containsText" text="INVÁLIDO">
      <formula>NOT(ISERROR(SEARCH(("INVÁLIDO"),(W2))))</formula>
    </cfRule>
  </conditionalFormatting>
  <conditionalFormatting sqref="W2:W501">
    <cfRule type="containsText" dxfId="1" priority="4" operator="containsText" text="ANO FORA">
      <formula>NOT(ISERROR(SEARCH(("ANO FORA"),(W2))))</formula>
    </cfRule>
  </conditionalFormatting>
  <dataValidations>
    <dataValidation type="list" allowBlank="1" showErrorMessage="1" sqref="C2:C501">
      <formula1>"Destaque 1,Destaque 2,PTT adicional 1,PTT adicional 2,PTT adicional 3"</formula1>
    </dataValidation>
    <dataValidation type="list" allowBlank="1" sqref="A2:A501">
      <formula1>'Resumo por docente'!$A$8:$A$57</formula1>
    </dataValidation>
    <dataValidation type="list" allowBlank="1" sqref="G2:G501">
      <formula1>"Ciência,Sociedade,Ciência e Sociedade"</formula1>
    </dataValidation>
    <dataValidation type="list" allowBlank="1" showErrorMessage="1" sqref="H2:H501">
      <formula1>"Social,Ambiental,Econômico,Institucional,Complementar,Múltiplas - especificar em K"</formula1>
    </dataValidation>
    <dataValidation type="list" allowBlank="1" showErrorMessage="1" sqref="E2:E501">
      <formula1>"Produto bibliográfico,Ativos de Propriedade Intelectual,Tecnologia Social,Produto de editoração,Material didático ou educacional,Software/Aplicativo,Norma ou Marco regulatório,Relatório técnico conclusivo,Manual/Protocolo,Acervo,Cultivar,Carta, mapa ou si"&amp;"milar,Produtos/Processos em sigilo,Taxonomia, Ontologias e Tesauros,Empresa ou Organização Social Inovadora,Processo/Tecnologia e Produto/Material não patenteável,Livro ou capítulo (somente destaque),Projeto de extensão (somente destaque),Artigo científic"&amp;"o (somente destaque),Iniciativa de popularização da ciência (somente destaque)"</formula1>
    </dataValidation>
    <dataValidation type="list" allowBlank="1" showErrorMessage="1" sqref="D9">
      <formula1>"2026,2025,2024,2023,2022,2021,2020"</formula1>
    </dataValidation>
    <dataValidation type="list" allowBlank="1" showErrorMessage="1" sqref="D2:D8 D10:D501">
      <formula1>"2026,2025,2024,2023,2022,2021"</formula1>
    </dataValidation>
    <dataValidation type="list" allowBlank="1" sqref="U2:V501">
      <formula1>"sim,não"</formula1>
    </dataValidation>
  </dataValidations>
  <hyperlinks>
    <hyperlink r:id="rId4" ref="S2"/>
    <hyperlink r:id="rId5" ref="T2"/>
    <hyperlink r:id="rId6" ref="S3"/>
    <hyperlink r:id="rId7" ref="T3"/>
    <hyperlink r:id="rId8" ref="S4"/>
    <hyperlink r:id="rId9" ref="T4"/>
    <hyperlink r:id="rId10" ref="S5"/>
    <hyperlink r:id="rId11" ref="T5"/>
    <hyperlink r:id="rId12" ref="S6"/>
    <hyperlink r:id="rId13" ref="T6"/>
    <hyperlink r:id="rId14" ref="S7"/>
    <hyperlink r:id="rId15" ref="T7"/>
    <hyperlink r:id="rId16" ref="S8"/>
    <hyperlink r:id="rId17" ref="T8"/>
    <hyperlink r:id="rId18" ref="S9"/>
    <hyperlink r:id="rId19" ref="T9"/>
    <hyperlink r:id="rId20" ref="S10"/>
    <hyperlink r:id="rId21" ref="T10"/>
    <hyperlink r:id="rId22" ref="S11"/>
    <hyperlink r:id="rId23" ref="T11"/>
  </hyperlinks>
  <printOptions/>
  <pageMargins bottom="0.75" footer="0.0" header="0.0" left="0.7" right="0.7" top="0.75"/>
  <pageSetup orientation="landscape"/>
  <drawing r:id="rId24"/>
  <legacyDrawing r:id="rId25"/>
</worksheet>
</file>